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apti\Desktop\"/>
    </mc:Choice>
  </mc:AlternateContent>
  <bookViews>
    <workbookView minimized="1" xWindow="0" yWindow="0" windowWidth="28770" windowHeight="12510" tabRatio="576"/>
  </bookViews>
  <sheets>
    <sheet name="REMPLIR" sheetId="1" r:id="rId1"/>
    <sheet name="BDD" sheetId="2" r:id="rId2"/>
    <sheet name="BONCOM" sheetId="4" r:id="rId3"/>
  </sheets>
  <functionGroups builtInGroupCount="18"/>
  <externalReferences>
    <externalReference r:id="rId4"/>
  </externalReferences>
  <definedNames>
    <definedName name="_9_paquets" localSheetId="1">[1]REMPLIR!#REF!</definedName>
    <definedName name="_9_paquets" localSheetId="2">[1]REMPLIR!#REF!</definedName>
    <definedName name="_9_paquets">REMPLIR!#REF!</definedName>
    <definedName name="_xlnm._FilterDatabase" localSheetId="0" hidden="1">REMPLIR!$K$10:$K$20</definedName>
    <definedName name="test" localSheetId="1">[1]REMPLIR!#REF!</definedName>
    <definedName name="test" localSheetId="2">[1]REMPLIR!#REF!</definedName>
    <definedName name="test">REMPLIR!#REF!</definedName>
    <definedName name="_xlnm.Print_Area" localSheetId="0">REMPLIR!$G$104:$M$163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4" i="1" l="1"/>
  <c r="Z35" i="1"/>
  <c r="Z36" i="1"/>
  <c r="Z4" i="1" l="1"/>
  <c r="AF3" i="1" l="1"/>
  <c r="AF4" i="1"/>
  <c r="T3" i="4" l="1"/>
  <c r="M3" i="4"/>
  <c r="F3" i="4"/>
  <c r="C46" i="2"/>
  <c r="C47" i="2" s="1"/>
  <c r="U41" i="1"/>
  <c r="U35" i="1"/>
  <c r="AD7" i="1"/>
  <c r="H4" i="1"/>
  <c r="AD5" i="1" l="1"/>
  <c r="L3" i="1" s="1"/>
  <c r="T2" i="4" s="1"/>
  <c r="Y3" i="1"/>
  <c r="Z39" i="1" s="1"/>
  <c r="Z37" i="1" l="1"/>
  <c r="Z38" i="1"/>
  <c r="Z8" i="1"/>
  <c r="Z9" i="1"/>
  <c r="Z6" i="1"/>
  <c r="Z7" i="1"/>
  <c r="Z55" i="1"/>
  <c r="Z5" i="1"/>
  <c r="Z53" i="1"/>
  <c r="Z54" i="1"/>
  <c r="Z51" i="1"/>
  <c r="Z52" i="1"/>
  <c r="Z49" i="1"/>
  <c r="Z50" i="1"/>
  <c r="Z47" i="1"/>
  <c r="Z48" i="1"/>
  <c r="Z28" i="1"/>
  <c r="Z29" i="1"/>
  <c r="Z30" i="1"/>
  <c r="Z33" i="1"/>
  <c r="Z31" i="1"/>
  <c r="Z32" i="1"/>
  <c r="Z26" i="1"/>
  <c r="Z27" i="1"/>
  <c r="Z24" i="1"/>
  <c r="Z25" i="1"/>
  <c r="Z22" i="1"/>
  <c r="Z23" i="1"/>
  <c r="Z20" i="1"/>
  <c r="Z21" i="1"/>
  <c r="Z18" i="1"/>
  <c r="Z19" i="1"/>
  <c r="Z16" i="1"/>
  <c r="Z17" i="1"/>
  <c r="Z14" i="1"/>
  <c r="Z15" i="1"/>
  <c r="Z12" i="1"/>
  <c r="Z13" i="1"/>
  <c r="Z10" i="1"/>
  <c r="Z11" i="1"/>
  <c r="F2" i="4"/>
  <c r="M2" i="4"/>
  <c r="AD3" i="1"/>
  <c r="AD4" i="1"/>
</calcChain>
</file>

<file path=xl/sharedStrings.xml><?xml version="1.0" encoding="utf-8"?>
<sst xmlns="http://schemas.openxmlformats.org/spreadsheetml/2006/main" count="250" uniqueCount="170">
  <si>
    <t>Nnombre de technicien</t>
  </si>
  <si>
    <t>semaine</t>
  </si>
  <si>
    <t>Technicien</t>
  </si>
  <si>
    <t>AAA</t>
  </si>
  <si>
    <t xml:space="preserve"> </t>
  </si>
  <si>
    <t>Utilisateur actuel :</t>
  </si>
  <si>
    <t>BFE</t>
  </si>
  <si>
    <t>NOM :</t>
  </si>
  <si>
    <t>début</t>
  </si>
  <si>
    <t>COD</t>
  </si>
  <si>
    <t>DATE :</t>
  </si>
  <si>
    <t>fin</t>
  </si>
  <si>
    <t>EAD</t>
  </si>
  <si>
    <t>semaine actuel :</t>
  </si>
  <si>
    <t>KCO</t>
  </si>
  <si>
    <t>JUL</t>
  </si>
  <si>
    <t>RCH</t>
  </si>
  <si>
    <t>COMMANDE</t>
  </si>
  <si>
    <t>Article</t>
  </si>
  <si>
    <t>BDD pour bon de commande</t>
  </si>
  <si>
    <t>BDD pour imprimer étiquette</t>
  </si>
  <si>
    <t>A commander</t>
  </si>
  <si>
    <t>Code article</t>
  </si>
  <si>
    <t>Gobelets</t>
  </si>
  <si>
    <t>930201RS</t>
  </si>
  <si>
    <t>Pipettes</t>
  </si>
  <si>
    <t>2 cartons</t>
  </si>
  <si>
    <t>801001RS</t>
  </si>
  <si>
    <t>Capsules Alu</t>
  </si>
  <si>
    <t>5 paquets</t>
  </si>
  <si>
    <t>850001RS</t>
  </si>
  <si>
    <t>Boîte métal ¼ L (224)</t>
  </si>
  <si>
    <t>1 carton</t>
  </si>
  <si>
    <t>912601RS</t>
  </si>
  <si>
    <t>Boîte métal 1 L (100)</t>
  </si>
  <si>
    <t>460201R</t>
  </si>
  <si>
    <t>Bidon Métal 1 L</t>
  </si>
  <si>
    <t>420701R</t>
  </si>
  <si>
    <t>Boîte plastique ¼ L (225)</t>
  </si>
  <si>
    <t>450801R</t>
  </si>
  <si>
    <t>Boîte plastique ½ L (96)</t>
  </si>
  <si>
    <t>450701R</t>
  </si>
  <si>
    <t>Boîte plastique 1 L (60)</t>
  </si>
  <si>
    <t>450601R</t>
  </si>
  <si>
    <t>Flacon ¼ L carré (210)</t>
  </si>
  <si>
    <t>450501R</t>
  </si>
  <si>
    <t>Flacon ½ L carré (124)</t>
  </si>
  <si>
    <t>450401R</t>
  </si>
  <si>
    <t>Flacon 1L carré (80)</t>
  </si>
  <si>
    <t>450201R</t>
  </si>
  <si>
    <t>Seau plastique 2,5L (40)</t>
  </si>
  <si>
    <t>937401RS</t>
  </si>
  <si>
    <t>Seau plastique 5L (40)</t>
  </si>
  <si>
    <t>430201R</t>
  </si>
  <si>
    <t>Seau métal 2,5L blanc V.I.</t>
  </si>
  <si>
    <t>561301R</t>
  </si>
  <si>
    <t>Seau métal 5L blanc nu</t>
  </si>
  <si>
    <t>20 seaux</t>
  </si>
  <si>
    <t>440705R</t>
  </si>
  <si>
    <t xml:space="preserve">Plaque acier </t>
  </si>
  <si>
    <t>1 palette de 500 plaques</t>
  </si>
  <si>
    <t>845901RS</t>
  </si>
  <si>
    <t>Feuillard métal (boite de 1000)</t>
  </si>
  <si>
    <t xml:space="preserve">3 boites </t>
  </si>
  <si>
    <t>846301RS</t>
  </si>
  <si>
    <t>Feuillard métal</t>
  </si>
  <si>
    <t>Filtres Elite 125µ</t>
  </si>
  <si>
    <t>2 boites</t>
  </si>
  <si>
    <t>MFG102</t>
  </si>
  <si>
    <t>Filtre Elite 125µ</t>
  </si>
  <si>
    <t>Lingette wypall x80
(ref Intersafe : 113104)</t>
  </si>
  <si>
    <t>2 cartons de 160</t>
  </si>
  <si>
    <t>Lingette wypall</t>
  </si>
  <si>
    <t>Lunette optema fogban 31004949 
(Ref intersafe : 136056) (Ref Vandeputte : 1000038)</t>
  </si>
  <si>
    <t>10 paires</t>
  </si>
  <si>
    <t>Lunette optema fogban 31004949</t>
  </si>
  <si>
    <t>Moldex 2405 FFP2D</t>
  </si>
  <si>
    <t>4 boites</t>
  </si>
  <si>
    <t>NA</t>
  </si>
  <si>
    <r>
      <t>Gant Dermaril P 743 TAILLE</t>
    </r>
    <r>
      <rPr>
        <b/>
        <sz val="12"/>
        <rFont val="Times New Roman"/>
        <family val="1"/>
      </rPr>
      <t xml:space="preserve"> 7</t>
    </r>
    <r>
      <rPr>
        <sz val="12"/>
        <rFont val="Times New Roman"/>
        <family val="1"/>
      </rPr>
      <t xml:space="preserve">
(ref Intersafe  : 129827) (ref Vandeputte : 1007733)</t>
    </r>
  </si>
  <si>
    <t>10 boites</t>
  </si>
  <si>
    <t>831001RS</t>
  </si>
  <si>
    <t>Gant Dermaril Taille 7</t>
  </si>
  <si>
    <r>
      <t>Gant Dermaril P 743 TAILLE</t>
    </r>
    <r>
      <rPr>
        <b/>
        <sz val="12"/>
        <rFont val="Times New Roman"/>
        <family val="1"/>
      </rPr>
      <t xml:space="preserve"> 8</t>
    </r>
    <r>
      <rPr>
        <sz val="12"/>
        <rFont val="Times New Roman"/>
        <family val="1"/>
      </rPr>
      <t xml:space="preserve">
(ref Intersafe  : 129827) (ref Vandeputte : 1007733)</t>
    </r>
  </si>
  <si>
    <t>Gant Dermaril Taille 8</t>
  </si>
  <si>
    <t>Classic Xpert Cat III TAILLE XL
(Ref Intersafe : 159897) (Ref Vandeputte : 1022701)</t>
  </si>
  <si>
    <t>1 paquet</t>
  </si>
  <si>
    <t>Classic Xpert Cat III Taille XL</t>
  </si>
  <si>
    <t>Labcoat PP no pokets taille XL</t>
  </si>
  <si>
    <t>Gant Nitrile Virtex 79-700 TAILLE : 9
(ref Intersafe : 130004) (ref Vandeputte : 1007555)</t>
  </si>
  <si>
    <t>Gant Nitrile Virtex 79-700 Taille 9</t>
  </si>
  <si>
    <t>Gant classic sol-vex 37675 TAILLE 6
(ref Intersafe : 113830) (ref Vandeputte : 1007583)</t>
  </si>
  <si>
    <t>Gant classic sol-vex 37675 Taille 6</t>
  </si>
  <si>
    <t>Gant classic sol-vex 37675 TAILLE 8
(ref Intersafe : 113830) (ref Vandeputte : 1007583)</t>
  </si>
  <si>
    <t>Gant classic sol-vex 37675 Taille 8</t>
  </si>
  <si>
    <t>Gant classic sol-vex 37675 TAILLE 9
(ref Intersafe : 113830) (ref Vandeputte : 1007583)</t>
  </si>
  <si>
    <t>Gant classic sol-vex 37675 Taille 9</t>
  </si>
  <si>
    <t>Surlunette OX3000 INCOLORE
(Ref Intersafe : 131882 Vandeputte : 1000432</t>
  </si>
  <si>
    <t>1 boite</t>
  </si>
  <si>
    <t xml:space="preserve">Surlunette OX3000 incolore </t>
  </si>
  <si>
    <t>Demi masque série 7000 TAILLE M
(ref Intersafe : 160494-M)</t>
  </si>
  <si>
    <t>1 carton de 10 masques</t>
  </si>
  <si>
    <t>Demi masque série 7000 Taille M</t>
  </si>
  <si>
    <t>Filtre anti-gaz ABEK1 easy lo
(ref Intersafe : 160001)</t>
  </si>
  <si>
    <t>3 boites</t>
  </si>
  <si>
    <t>Filtre anti-gaz ABEK1 easy lo</t>
  </si>
  <si>
    <t>Filtre P3 R, Easylock
(ref Intersafe : 160005)</t>
  </si>
  <si>
    <t>Filtre P3 R, Easylock</t>
  </si>
  <si>
    <t>Chaussures Carnera S1P SRC Taille : 37
(Ref Intersafe : 155347)</t>
  </si>
  <si>
    <t>1 paire</t>
  </si>
  <si>
    <t>Chaussures Carnera S1P SRC Taille 37</t>
  </si>
  <si>
    <t>Chaussures Carnera S1P SRC Taille : 38
(Ref Intersafe : 155347)</t>
  </si>
  <si>
    <t>Chaussures Carnera S1P SRC Taille 38</t>
  </si>
  <si>
    <t>Chaussures Carnera S1P SRC Taille : 39
(Ref Intersafe : 155347)</t>
  </si>
  <si>
    <t>2 paires</t>
  </si>
  <si>
    <t>Chaussures Carnera S1P SRC Taille 39</t>
  </si>
  <si>
    <t>Chaussures Carnera S1P SRC Taille : 41
(Ref Intersafe : 155347)</t>
  </si>
  <si>
    <t>Chaussures Carnera S1P SRC Taille 41</t>
  </si>
  <si>
    <t>Chaussures Carnera S1P SRC Taille : 42
(Ref Intersafe : 155347)</t>
  </si>
  <si>
    <t>Chaussures Carnera S1P SRC Taille 42</t>
  </si>
  <si>
    <t>Chaussures Carnera S1P SRC Taille 43
(Ref Intersafe : 155347)</t>
  </si>
  <si>
    <t>Chaussures Carnera S1P SRC Taille 43</t>
  </si>
  <si>
    <t>Chaussures Carnera S1P SRC Taille 44
(Ref Intersafe : 155347)</t>
  </si>
  <si>
    <t>Chaussures Carnera S1P SRC Taille 44</t>
  </si>
  <si>
    <t>Chaussures Carnera S1P SRC Taille 45
(Ref Intersafe : 155347)</t>
  </si>
  <si>
    <t>Chaussures Carnera S1P SRC Taille 45</t>
  </si>
  <si>
    <t>Chaussures Carnera S1P SRC Taille 46
(Ref Intersafe : 155347)</t>
  </si>
  <si>
    <t>Chaussures Carnera S1P SRC Taille 46</t>
  </si>
  <si>
    <t>Gant Camapreen 720 TAILLE : 8
(Ref Intersafe : 1149895) (Ref Vandeputte : 1007735)</t>
  </si>
  <si>
    <t>6 paquets</t>
  </si>
  <si>
    <t>Gant Camapreen 720 TAILLE 8</t>
  </si>
  <si>
    <t>Gant Grip Flex Nitrill Foam TAILLE 10</t>
  </si>
  <si>
    <t>Sac poubelle 130L</t>
  </si>
  <si>
    <t>3 paquets</t>
  </si>
  <si>
    <t>Sac poubelle 130 L</t>
  </si>
  <si>
    <t>DURACELL ULTRA POWER AAA (paquet de 12 piles)</t>
  </si>
  <si>
    <t>Piles AAA</t>
  </si>
  <si>
    <t>DURACELL ULTRA POWER AA (paquet de 8 piles)</t>
  </si>
  <si>
    <t>1 paquets</t>
  </si>
  <si>
    <t>Piles AA</t>
  </si>
  <si>
    <t>sac de congélation</t>
  </si>
  <si>
    <t>Plaques de verres
(A commander via Arnaud Andiole AAN)</t>
  </si>
  <si>
    <t>20 plaques de verres</t>
  </si>
  <si>
    <t>Plaques de verres</t>
  </si>
  <si>
    <t>Bobine Industrielle
(A commander via Arnaud Andiole AAN)</t>
  </si>
  <si>
    <t>3 paquets de 2 bobines</t>
  </si>
  <si>
    <t>Bobine industrielle</t>
  </si>
  <si>
    <t>NOM</t>
  </si>
  <si>
    <t>DATE</t>
  </si>
  <si>
    <t>BON DE COMMANDE EPI
A TRANSFERER A LUCIE BICHERAY (LBI)</t>
  </si>
  <si>
    <t>BON DE COMMANDE 
A ACHETER DIRECTEMENT</t>
  </si>
  <si>
    <t>CODE ARTICLE</t>
  </si>
  <si>
    <t>quantité</t>
  </si>
  <si>
    <t>a.alioui@mader-group.com</t>
  </si>
  <si>
    <t>b.fessard@mader-group.com</t>
  </si>
  <si>
    <t>c.derrien@mader-group.com</t>
  </si>
  <si>
    <t>e.adiceam@mader-group.com</t>
  </si>
  <si>
    <t>k.codron@mader-group.com</t>
  </si>
  <si>
    <t>j.langlais@mader-group.com</t>
  </si>
  <si>
    <t>r.chambon@mader-group.com</t>
  </si>
  <si>
    <t>Version 4.0</t>
  </si>
  <si>
    <t>code</t>
  </si>
  <si>
    <t>BMA</t>
  </si>
  <si>
    <t>b.magnan@mader-group.com</t>
  </si>
  <si>
    <t>BON DE COMMANDE EMBALLAGE</t>
  </si>
  <si>
    <t>3 cartons</t>
  </si>
  <si>
    <t>20 paquets</t>
  </si>
  <si>
    <t>THR</t>
  </si>
  <si>
    <t>T.ROUSSELOT@mader-group.com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</si>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</sst>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1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20"/>
      <name val="Arial"/>
      <family val="2"/>
    </font>
    <font>
      <sz val="12"/>
      <name val="Times New Roman"/>
      <family val="1"/>
    </font>
    <font>
      <b/>
      <sz val="13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"/>
      <color theme="0"/>
      <name val="Courier New"/>
      <family val="3"/>
    </font>
    <font>
      <u/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2" fillId="0" borderId="0" xfId="1" applyProtection="1"/>
    <xf numFmtId="0" fontId="0" fillId="0" borderId="0" xfId="0" applyProtection="1"/>
    <xf numFmtId="0" fontId="3" fillId="0" borderId="0" xfId="0" applyFont="1" applyProtection="1"/>
    <xf numFmtId="0" fontId="4" fillId="0" borderId="0" xfId="0" applyFont="1" applyProtection="1"/>
    <xf numFmtId="0" fontId="4" fillId="0" borderId="0" xfId="1" applyFont="1" applyProtection="1"/>
    <xf numFmtId="0" fontId="3" fillId="0" borderId="0" xfId="1" applyFont="1" applyProtection="1"/>
    <xf numFmtId="0" fontId="5" fillId="0" borderId="0" xfId="0" applyFont="1" applyAlignment="1" applyProtection="1">
      <alignment horizontal="center"/>
    </xf>
    <xf numFmtId="14" fontId="3" fillId="0" borderId="0" xfId="1" applyNumberFormat="1" applyFont="1" applyProtection="1"/>
    <xf numFmtId="14" fontId="2" fillId="0" borderId="0" xfId="1" applyNumberFormat="1" applyAlignment="1" applyProtection="1">
      <alignment horizontal="center"/>
    </xf>
    <xf numFmtId="14" fontId="2" fillId="0" borderId="0" xfId="1" applyNumberFormat="1" applyProtection="1"/>
    <xf numFmtId="0" fontId="7" fillId="0" borderId="0" xfId="1" applyFont="1" applyAlignment="1" applyProtection="1">
      <alignment horizontal="center" vertical="center" wrapText="1"/>
    </xf>
    <xf numFmtId="0" fontId="8" fillId="0" borderId="2" xfId="1" applyFont="1" applyBorder="1" applyAlignment="1" applyProtection="1">
      <alignment horizontal="center" wrapText="1"/>
      <protection locked="0"/>
    </xf>
    <xf numFmtId="0" fontId="2" fillId="0" borderId="7" xfId="1" applyBorder="1" applyAlignment="1" applyProtection="1">
      <alignment horizontal="center" vertical="center" wrapText="1"/>
    </xf>
    <xf numFmtId="0" fontId="2" fillId="0" borderId="0" xfId="1" applyBorder="1" applyAlignment="1" applyProtection="1"/>
    <xf numFmtId="0" fontId="3" fillId="0" borderId="0" xfId="1" applyFont="1" applyBorder="1" applyAlignment="1" applyProtection="1"/>
    <xf numFmtId="0" fontId="4" fillId="0" borderId="0" xfId="1" applyFont="1" applyBorder="1" applyAlignment="1" applyProtection="1"/>
    <xf numFmtId="0" fontId="2" fillId="0" borderId="0" xfId="1" applyFont="1" applyProtection="1"/>
    <xf numFmtId="0" fontId="4" fillId="0" borderId="0" xfId="1" applyFont="1" applyFill="1" applyBorder="1" applyAlignment="1" applyProtection="1"/>
    <xf numFmtId="0" fontId="3" fillId="0" borderId="0" xfId="1" applyFont="1" applyFill="1" applyBorder="1" applyAlignment="1" applyProtection="1"/>
    <xf numFmtId="0" fontId="3" fillId="0" borderId="0" xfId="1" applyFont="1" applyBorder="1" applyProtection="1"/>
    <xf numFmtId="0" fontId="1" fillId="0" borderId="0" xfId="0" applyFont="1" applyProtection="1"/>
    <xf numFmtId="0" fontId="0" fillId="0" borderId="0" xfId="0" applyBorder="1" applyProtection="1"/>
    <xf numFmtId="0" fontId="2" fillId="0" borderId="0" xfId="1" applyFont="1" applyBorder="1" applyProtection="1"/>
    <xf numFmtId="0" fontId="1" fillId="0" borderId="0" xfId="0" applyFont="1" applyBorder="1" applyProtection="1"/>
    <xf numFmtId="0" fontId="3" fillId="0" borderId="0" xfId="0" applyFont="1" applyBorder="1" applyProtection="1"/>
    <xf numFmtId="0" fontId="2" fillId="0" borderId="0" xfId="0" applyFont="1" applyBorder="1" applyProtection="1"/>
    <xf numFmtId="0" fontId="9" fillId="0" borderId="0" xfId="0" applyFont="1" applyBorder="1" applyAlignment="1" applyProtection="1"/>
    <xf numFmtId="0" fontId="9" fillId="0" borderId="0" xfId="0" applyFont="1" applyBorder="1" applyAlignment="1" applyProtection="1">
      <alignment horizontal="center"/>
    </xf>
    <xf numFmtId="0" fontId="9" fillId="0" borderId="0" xfId="0" applyFont="1" applyBorder="1" applyProtection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textRotation="90"/>
    </xf>
    <xf numFmtId="0" fontId="8" fillId="0" borderId="0" xfId="0" applyFont="1" applyBorder="1" applyAlignment="1">
      <alignment horizontal="center" wrapText="1"/>
    </xf>
    <xf numFmtId="0" fontId="8" fillId="0" borderId="0" xfId="1" applyFont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2" fillId="0" borderId="0" xfId="0" applyFont="1" applyAlignment="1"/>
    <xf numFmtId="0" fontId="0" fillId="0" borderId="0" xfId="0" applyAlignment="1"/>
    <xf numFmtId="0" fontId="8" fillId="0" borderId="0" xfId="0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1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9" fillId="0" borderId="0" xfId="0" applyFont="1" applyBorder="1" applyAlignment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14" fontId="0" fillId="0" borderId="0" xfId="0" applyNumberFormat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0" borderId="2" xfId="1" applyFont="1" applyBorder="1" applyAlignment="1" applyProtection="1">
      <alignment horizontal="center" vertical="center"/>
    </xf>
    <xf numFmtId="0" fontId="13" fillId="0" borderId="0" xfId="0" applyFont="1" applyProtection="1"/>
    <xf numFmtId="0" fontId="13" fillId="0" borderId="0" xfId="1" applyFont="1" applyProtection="1"/>
    <xf numFmtId="0" fontId="14" fillId="0" borderId="0" xfId="0" applyFont="1" applyProtection="1"/>
    <xf numFmtId="14" fontId="13" fillId="0" borderId="0" xfId="1" applyNumberFormat="1" applyFont="1" applyProtection="1"/>
    <xf numFmtId="14" fontId="14" fillId="0" borderId="0" xfId="1" applyNumberFormat="1" applyFont="1" applyBorder="1" applyAlignment="1" applyProtection="1">
      <alignment horizontal="center"/>
    </xf>
    <xf numFmtId="0" fontId="15" fillId="0" borderId="0" xfId="1" applyFont="1" applyProtection="1"/>
    <xf numFmtId="14" fontId="15" fillId="0" borderId="0" xfId="1" applyNumberFormat="1" applyFont="1" applyProtection="1"/>
    <xf numFmtId="0" fontId="16" fillId="0" borderId="0" xfId="1" applyFont="1" applyBorder="1" applyAlignment="1" applyProtection="1">
      <alignment horizontal="center"/>
    </xf>
    <xf numFmtId="0" fontId="7" fillId="0" borderId="0" xfId="1" applyFont="1" applyAlignment="1" applyProtection="1">
      <alignment horizontal="center" vertical="center" wrapText="1"/>
    </xf>
    <xf numFmtId="0" fontId="7" fillId="0" borderId="1" xfId="1" applyFont="1" applyBorder="1" applyAlignment="1" applyProtection="1">
      <alignment horizontal="center" vertical="center" wrapText="1"/>
    </xf>
    <xf numFmtId="0" fontId="1" fillId="0" borderId="3" xfId="1" applyFont="1" applyBorder="1" applyAlignment="1" applyProtection="1">
      <alignment horizontal="center"/>
    </xf>
    <xf numFmtId="0" fontId="2" fillId="0" borderId="4" xfId="1" applyBorder="1" applyAlignment="1" applyProtection="1">
      <alignment horizontal="center"/>
    </xf>
    <xf numFmtId="0" fontId="2" fillId="0" borderId="5" xfId="1" applyBorder="1" applyAlignment="1" applyProtection="1">
      <alignment horizontal="center"/>
    </xf>
    <xf numFmtId="0" fontId="2" fillId="0" borderId="3" xfId="1" applyFont="1" applyBorder="1" applyAlignment="1" applyProtection="1">
      <alignment horizontal="center" wrapText="1"/>
      <protection locked="0"/>
    </xf>
    <xf numFmtId="0" fontId="2" fillId="0" borderId="4" xfId="1" applyBorder="1" applyAlignment="1" applyProtection="1">
      <alignment horizontal="center"/>
      <protection locked="0"/>
    </xf>
    <xf numFmtId="0" fontId="2" fillId="0" borderId="5" xfId="1" applyBorder="1" applyAlignment="1" applyProtection="1">
      <alignment horizontal="center"/>
      <protection locked="0"/>
    </xf>
    <xf numFmtId="0" fontId="1" fillId="0" borderId="3" xfId="1" applyFont="1" applyBorder="1" applyAlignment="1" applyProtection="1">
      <alignment horizontal="center"/>
      <protection locked="0"/>
    </xf>
    <xf numFmtId="0" fontId="2" fillId="0" borderId="3" xfId="1" applyBorder="1" applyAlignment="1" applyProtection="1">
      <alignment horizontal="center" wrapText="1"/>
      <protection locked="0"/>
    </xf>
    <xf numFmtId="0" fontId="1" fillId="0" borderId="3" xfId="1" applyFont="1" applyBorder="1" applyAlignment="1" applyProtection="1">
      <alignment horizontal="center" wrapText="1"/>
      <protection locked="0"/>
    </xf>
    <xf numFmtId="0" fontId="2" fillId="0" borderId="3" xfId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</xf>
    <xf numFmtId="0" fontId="2" fillId="0" borderId="0" xfId="1" applyBorder="1" applyAlignment="1" applyProtection="1">
      <alignment horizontal="center"/>
    </xf>
    <xf numFmtId="0" fontId="3" fillId="0" borderId="0" xfId="1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5" fillId="0" borderId="0" xfId="0" applyFont="1" applyProtection="1"/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0" xfId="1" applyFont="1" applyProtection="1"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14" fontId="17" fillId="0" borderId="0" xfId="0" applyNumberFormat="1" applyFont="1" applyAlignment="1" applyProtection="1">
      <alignment horizontal="center"/>
      <protection locked="0"/>
    </xf>
    <xf numFmtId="0" fontId="18" fillId="0" borderId="0" xfId="2" applyFont="1" applyAlignment="1" applyProtection="1">
      <protection locked="0"/>
    </xf>
    <xf numFmtId="164" fontId="15" fillId="0" borderId="0" xfId="1" applyNumberFormat="1" applyFont="1" applyProtection="1">
      <protection locked="0"/>
    </xf>
    <xf numFmtId="14" fontId="15" fillId="0" borderId="0" xfId="0" applyNumberFormat="1" applyFont="1" applyProtection="1">
      <protection locked="0"/>
    </xf>
    <xf numFmtId="14" fontId="18" fillId="0" borderId="0" xfId="2" applyNumberFormat="1" applyFont="1" applyAlignment="1" applyProtection="1">
      <protection locked="0"/>
    </xf>
    <xf numFmtId="0" fontId="15" fillId="0" borderId="0" xfId="1" applyNumberFormat="1" applyFont="1" applyAlignment="1" applyProtection="1">
      <alignment horizontal="center"/>
      <protection locked="0"/>
    </xf>
    <xf numFmtId="0" fontId="15" fillId="0" borderId="0" xfId="1" applyFont="1" applyAlignment="1" applyProtection="1">
      <alignment wrapText="1"/>
      <protection locked="0"/>
    </xf>
    <xf numFmtId="0" fontId="15" fillId="0" borderId="0" xfId="1" applyFont="1" applyBorder="1" applyProtection="1"/>
    <xf numFmtId="0" fontId="15" fillId="0" borderId="0" xfId="1" applyFont="1" applyBorder="1" applyAlignment="1" applyProtection="1">
      <alignment wrapText="1"/>
    </xf>
    <xf numFmtId="0" fontId="15" fillId="0" borderId="0" xfId="1" applyFont="1" applyFill="1" applyBorder="1" applyAlignment="1" applyProtection="1"/>
    <xf numFmtId="14" fontId="15" fillId="0" borderId="0" xfId="0" applyNumberFormat="1" applyFont="1" applyProtection="1"/>
    <xf numFmtId="14" fontId="15" fillId="0" borderId="8" xfId="0" applyNumberFormat="1" applyFont="1" applyBorder="1" applyProtection="1"/>
    <xf numFmtId="0" fontId="15" fillId="0" borderId="9" xfId="1" applyFont="1" applyBorder="1" applyAlignment="1" applyProtection="1">
      <alignment wrapText="1"/>
    </xf>
    <xf numFmtId="0" fontId="15" fillId="0" borderId="9" xfId="1" applyFont="1" applyBorder="1" applyProtection="1"/>
    <xf numFmtId="0" fontId="15" fillId="0" borderId="10" xfId="0" applyFont="1" applyBorder="1" applyProtection="1"/>
    <xf numFmtId="14" fontId="15" fillId="0" borderId="11" xfId="0" applyNumberFormat="1" applyFont="1" applyBorder="1" applyProtection="1"/>
    <xf numFmtId="0" fontId="15" fillId="0" borderId="12" xfId="0" applyFont="1" applyBorder="1" applyProtection="1"/>
    <xf numFmtId="14" fontId="15" fillId="0" borderId="11" xfId="0" quotePrefix="1" applyNumberFormat="1" applyFont="1" applyBorder="1" applyProtection="1"/>
    <xf numFmtId="14" fontId="15" fillId="0" borderId="13" xfId="0" applyNumberFormat="1" applyFont="1" applyBorder="1" applyProtection="1"/>
    <xf numFmtId="0" fontId="15" fillId="0" borderId="14" xfId="1" applyFont="1" applyBorder="1" applyProtection="1"/>
    <xf numFmtId="0" fontId="15" fillId="0" borderId="15" xfId="0" applyFont="1" applyBorder="1" applyProtection="1"/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33</xdr:row>
          <xdr:rowOff>104775</xdr:rowOff>
        </xdr:from>
        <xdr:to>
          <xdr:col>7</xdr:col>
          <xdr:colOff>714375</xdr:colOff>
          <xdr:row>35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GENERER LES BONS DE COMMANDE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40</xdr:row>
          <xdr:rowOff>0</xdr:rowOff>
        </xdr:from>
        <xdr:to>
          <xdr:col>7</xdr:col>
          <xdr:colOff>542925</xdr:colOff>
          <xdr:row>43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IMPRIMER ETIQUETTE(S)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39</xdr:row>
          <xdr:rowOff>152400</xdr:rowOff>
        </xdr:from>
        <xdr:to>
          <xdr:col>5</xdr:col>
          <xdr:colOff>419100</xdr:colOff>
          <xdr:row>43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PLANIFICATION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RFS02\MyDocs$\BFE\Documents\Commande\commande%20fourniture%20v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PLIR"/>
      <sheetName val="BDD"/>
      <sheetName val="HISTO"/>
      <sheetName val="BONCOM"/>
      <sheetName val="commande fourniture v3"/>
    </sheetNames>
    <sheetDataSet>
      <sheetData sheetId="0">
        <row r="3">
          <cell r="L3" t="str">
            <v>JUL</v>
          </cell>
        </row>
      </sheetData>
      <sheetData sheetId="1">
        <row r="3">
          <cell r="I3">
            <v>1000</v>
          </cell>
        </row>
      </sheetData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indexed="17"/>
    <pageSetUpPr fitToPage="1"/>
  </sheetPr>
  <dimension ref="A1:AT356"/>
  <sheetViews>
    <sheetView showGridLines="0" tabSelected="1" workbookViewId="0">
      <selection activeCell="B13" sqref="B13"/>
    </sheetView>
  </sheetViews>
  <sheetFormatPr baseColWidth="10" defaultRowHeight="12.75" x14ac:dyDescent="0.2"/>
  <cols>
    <col min="1" max="1" width="11.42578125" style="2"/>
    <col min="2" max="2" width="14.42578125" style="2" bestFit="1" customWidth="1"/>
    <col min="3" max="5" width="11.42578125" style="2"/>
    <col min="6" max="6" width="24.140625" style="2" customWidth="1"/>
    <col min="7" max="7" width="11.42578125" style="2"/>
    <col min="8" max="8" width="11.5703125" style="2" customWidth="1"/>
    <col min="9" max="9" width="15.5703125" style="2" customWidth="1"/>
    <col min="10" max="55" width="11.42578125" style="2"/>
    <col min="56" max="56" width="19.42578125" style="2" customWidth="1"/>
    <col min="57" max="57" width="18.85546875" style="2" customWidth="1"/>
    <col min="58" max="16384" width="11.42578125" style="2"/>
  </cols>
  <sheetData>
    <row r="1" spans="1:46" x14ac:dyDescent="0.2">
      <c r="A1" s="1"/>
      <c r="B1" s="1"/>
      <c r="C1" s="1"/>
      <c r="D1" s="1"/>
      <c r="E1" s="1"/>
      <c r="F1" s="1"/>
      <c r="I1" s="56"/>
      <c r="J1" s="56"/>
      <c r="K1" s="56"/>
      <c r="L1" s="56"/>
      <c r="M1" s="56"/>
      <c r="N1" s="3"/>
      <c r="O1" s="3"/>
      <c r="P1" s="3"/>
      <c r="Q1" s="3"/>
      <c r="R1" s="3"/>
      <c r="S1" s="3"/>
      <c r="T1" s="3"/>
      <c r="U1" s="4"/>
      <c r="V1" s="3"/>
      <c r="W1" s="91"/>
      <c r="X1" s="91"/>
      <c r="Y1" s="92"/>
      <c r="Z1" s="92"/>
      <c r="AA1" s="92"/>
      <c r="AB1" s="93" t="s">
        <v>0</v>
      </c>
      <c r="AC1" s="93"/>
      <c r="AD1" s="94">
        <v>1</v>
      </c>
      <c r="AE1" s="92" t="s">
        <v>1</v>
      </c>
      <c r="AF1" s="92"/>
      <c r="AG1" s="92"/>
      <c r="AH1" s="92"/>
      <c r="AI1" s="92"/>
      <c r="AJ1" s="92"/>
      <c r="AK1" s="92" t="s">
        <v>2</v>
      </c>
      <c r="AL1" s="92" t="s">
        <v>3</v>
      </c>
      <c r="AM1" s="92" t="s">
        <v>153</v>
      </c>
      <c r="AN1" s="91"/>
      <c r="AO1" s="91"/>
      <c r="AP1" s="91"/>
      <c r="AQ1" s="91"/>
      <c r="AR1" s="91"/>
      <c r="AS1" s="91"/>
      <c r="AT1" s="3"/>
    </row>
    <row r="2" spans="1:46" x14ac:dyDescent="0.2">
      <c r="A2" s="1"/>
      <c r="B2" s="1"/>
      <c r="C2" s="1"/>
      <c r="D2" s="1"/>
      <c r="E2" s="1"/>
      <c r="F2" s="1"/>
      <c r="I2" s="57"/>
      <c r="J2" s="61"/>
      <c r="K2" s="61"/>
      <c r="L2" s="61" t="s">
        <v>4</v>
      </c>
      <c r="M2" s="61"/>
      <c r="N2" s="6"/>
      <c r="O2" s="6"/>
      <c r="P2" s="6"/>
      <c r="Q2" s="6"/>
      <c r="R2" s="6"/>
      <c r="S2" s="6"/>
      <c r="T2" s="6"/>
      <c r="U2" s="5"/>
      <c r="V2" s="6"/>
      <c r="W2" s="61"/>
      <c r="X2" s="61"/>
      <c r="Y2" s="95"/>
      <c r="Z2" s="95"/>
      <c r="AA2" s="95"/>
      <c r="AB2" s="96" t="s">
        <v>5</v>
      </c>
      <c r="AC2" s="96"/>
      <c r="AD2" s="97" t="s">
        <v>167</v>
      </c>
      <c r="AE2" s="95"/>
      <c r="AF2" s="95"/>
      <c r="AG2" s="95"/>
      <c r="AH2" s="95"/>
      <c r="AI2" s="92"/>
      <c r="AJ2" s="92"/>
      <c r="AK2" s="92" t="s">
        <v>3</v>
      </c>
      <c r="AL2" s="92" t="s">
        <v>6</v>
      </c>
      <c r="AM2" s="92" t="s">
        <v>154</v>
      </c>
      <c r="AN2" s="91"/>
      <c r="AO2" s="91"/>
      <c r="AP2" s="91"/>
      <c r="AQ2" s="91"/>
      <c r="AR2" s="91"/>
      <c r="AS2" s="91"/>
      <c r="AT2" s="3"/>
    </row>
    <row r="3" spans="1:46" x14ac:dyDescent="0.2">
      <c r="A3" s="1"/>
      <c r="B3" s="1"/>
      <c r="C3" s="1"/>
      <c r="D3" s="1"/>
      <c r="E3" s="1"/>
      <c r="F3" s="1"/>
      <c r="G3" s="1" t="s">
        <v>7</v>
      </c>
      <c r="H3" s="7" t="s">
        <v>16</v>
      </c>
      <c r="I3" s="58"/>
      <c r="J3" s="61"/>
      <c r="K3" s="62"/>
      <c r="L3" s="63">
        <f ca="1">VLOOKUP(AD5,X4:Y55,2,FALSE)</f>
        <v>0</v>
      </c>
      <c r="M3" s="61"/>
      <c r="N3" s="6"/>
      <c r="O3" s="6"/>
      <c r="P3" s="6"/>
      <c r="Q3" s="6"/>
      <c r="R3" s="6"/>
      <c r="S3" s="6"/>
      <c r="T3" s="6"/>
      <c r="U3" s="5"/>
      <c r="V3" s="6"/>
      <c r="W3" s="61"/>
      <c r="X3" s="61"/>
      <c r="Y3" s="95">
        <f ca="1">YEAR(H4)</f>
        <v>2018</v>
      </c>
      <c r="Z3" s="95"/>
      <c r="AA3" s="95"/>
      <c r="AB3" s="96" t="s">
        <v>8</v>
      </c>
      <c r="AC3" s="96"/>
      <c r="AD3" s="98">
        <f ca="1">7*AE3+DATE($Y$3,1,3)-WEEKDAY(DATE($Y$3,1,3))-2</f>
        <v>43167</v>
      </c>
      <c r="AE3" s="95">
        <v>10</v>
      </c>
      <c r="AF3" s="95" t="b">
        <f>ISNUMBER(AE3)</f>
        <v>1</v>
      </c>
      <c r="AG3" s="99"/>
      <c r="AH3" s="95"/>
      <c r="AI3" s="92"/>
      <c r="AJ3" s="92"/>
      <c r="AK3" s="92" t="s">
        <v>12</v>
      </c>
      <c r="AL3" s="92" t="s">
        <v>9</v>
      </c>
      <c r="AM3" s="92" t="s">
        <v>155</v>
      </c>
      <c r="AN3" s="91"/>
      <c r="AO3" s="91"/>
      <c r="AP3" s="91"/>
      <c r="AQ3" s="91"/>
      <c r="AR3" s="91"/>
      <c r="AS3" s="91"/>
      <c r="AT3" s="3"/>
    </row>
    <row r="4" spans="1:46" x14ac:dyDescent="0.2">
      <c r="A4" s="1"/>
      <c r="B4" s="1"/>
      <c r="C4" s="1"/>
      <c r="D4" s="1"/>
      <c r="E4" s="1"/>
      <c r="F4" s="1"/>
      <c r="G4" s="1" t="s">
        <v>10</v>
      </c>
      <c r="H4" s="9">
        <f ca="1">TODAY()</f>
        <v>43206</v>
      </c>
      <c r="I4" s="57"/>
      <c r="J4" s="61"/>
      <c r="K4" s="62"/>
      <c r="L4" s="61"/>
      <c r="M4" s="61"/>
      <c r="N4" s="6"/>
      <c r="O4" s="6"/>
      <c r="P4" s="6"/>
      <c r="Q4" s="6"/>
      <c r="R4" s="6"/>
      <c r="S4" s="6"/>
      <c r="T4" s="6"/>
      <c r="U4" s="5"/>
      <c r="V4" s="6"/>
      <c r="W4" s="61"/>
      <c r="X4" s="61">
        <v>1</v>
      </c>
      <c r="Y4" s="95"/>
      <c r="Z4" s="100" t="str">
        <f t="shared" ref="Z4:Z55" si="0">IF(Y4="","",7*X4+DATE($Y$3,1,3)-WEEKDAY(DATE($Y$3,1,3))-2)</f>
        <v/>
      </c>
      <c r="AA4" s="101"/>
      <c r="AB4" s="96" t="s">
        <v>11</v>
      </c>
      <c r="AC4" s="96"/>
      <c r="AD4" s="98">
        <f ca="1">7*AE4+DATE($Y$3,1,3)-WEEKDAY(DATE($Y$3,1,3))-2</f>
        <v>43167</v>
      </c>
      <c r="AE4" s="95">
        <v>10</v>
      </c>
      <c r="AF4" s="95" t="b">
        <f>ISNUMBER(AE4)</f>
        <v>1</v>
      </c>
      <c r="AG4" s="95"/>
      <c r="AH4" s="95"/>
      <c r="AI4" s="92"/>
      <c r="AJ4" s="92"/>
      <c r="AK4" s="92" t="s">
        <v>14</v>
      </c>
      <c r="AL4" s="92" t="s">
        <v>12</v>
      </c>
      <c r="AM4" s="92" t="s">
        <v>156</v>
      </c>
      <c r="AN4" s="91"/>
      <c r="AO4" s="91"/>
      <c r="AP4" s="91"/>
      <c r="AQ4" s="91"/>
      <c r="AR4" s="91"/>
      <c r="AS4" s="91"/>
      <c r="AT4" s="3"/>
    </row>
    <row r="5" spans="1:46" x14ac:dyDescent="0.2">
      <c r="A5" s="1"/>
      <c r="B5" s="1"/>
      <c r="C5" s="1"/>
      <c r="D5" s="1"/>
      <c r="E5" s="1"/>
      <c r="F5" s="1"/>
      <c r="G5" s="1"/>
      <c r="H5" s="10"/>
      <c r="I5" s="57"/>
      <c r="J5" s="61"/>
      <c r="K5" s="62"/>
      <c r="L5" s="61"/>
      <c r="M5" s="61"/>
      <c r="N5" s="6"/>
      <c r="O5" s="6"/>
      <c r="P5" s="6"/>
      <c r="Q5" s="6"/>
      <c r="R5" s="6"/>
      <c r="S5" s="6"/>
      <c r="T5" s="6"/>
      <c r="U5" s="5"/>
      <c r="V5" s="6"/>
      <c r="W5" s="61"/>
      <c r="X5" s="61">
        <v>2</v>
      </c>
      <c r="Y5" s="95"/>
      <c r="Z5" s="100" t="str">
        <f t="shared" si="0"/>
        <v/>
      </c>
      <c r="AA5" s="101"/>
      <c r="AB5" s="96" t="s">
        <v>13</v>
      </c>
      <c r="AC5" s="96"/>
      <c r="AD5" s="97">
        <f ca="1">_xlfn.ISOWEEKNUM(H4)</f>
        <v>16</v>
      </c>
      <c r="AE5" s="95"/>
      <c r="AF5" s="95"/>
      <c r="AG5" s="95"/>
      <c r="AH5" s="95"/>
      <c r="AI5" s="92"/>
      <c r="AJ5" s="92"/>
      <c r="AK5" s="92" t="s">
        <v>15</v>
      </c>
      <c r="AL5" s="92" t="s">
        <v>14</v>
      </c>
      <c r="AM5" s="92" t="s">
        <v>157</v>
      </c>
      <c r="AN5" s="91"/>
      <c r="AO5" s="91"/>
      <c r="AP5" s="91"/>
      <c r="AQ5" s="91"/>
      <c r="AR5" s="91"/>
      <c r="AS5" s="91"/>
      <c r="AT5" s="3"/>
    </row>
    <row r="6" spans="1:46" x14ac:dyDescent="0.2">
      <c r="A6" s="1"/>
      <c r="B6" s="1"/>
      <c r="C6" s="1"/>
      <c r="D6" s="1"/>
      <c r="E6" s="1"/>
      <c r="F6" s="1"/>
      <c r="I6" s="60"/>
      <c r="J6" s="61"/>
      <c r="K6" s="62"/>
      <c r="L6" s="61"/>
      <c r="M6" s="61"/>
      <c r="N6" s="6"/>
      <c r="O6" s="6"/>
      <c r="P6" s="6"/>
      <c r="Q6" s="6"/>
      <c r="R6" s="6"/>
      <c r="S6" s="6"/>
      <c r="T6" s="6"/>
      <c r="U6" s="5"/>
      <c r="W6" s="61"/>
      <c r="X6" s="61">
        <v>3</v>
      </c>
      <c r="Y6" s="95"/>
      <c r="Z6" s="100" t="str">
        <f t="shared" si="0"/>
        <v/>
      </c>
      <c r="AA6" s="102"/>
      <c r="AB6" s="95"/>
      <c r="AC6" s="95"/>
      <c r="AD6" s="103">
        <v>20</v>
      </c>
      <c r="AE6" s="95" t="e">
        <v>#N/A</v>
      </c>
      <c r="AF6" s="95"/>
      <c r="AG6" s="95"/>
      <c r="AH6" s="95"/>
      <c r="AI6" s="92"/>
      <c r="AJ6" s="92"/>
      <c r="AK6" s="92" t="s">
        <v>16</v>
      </c>
      <c r="AL6" s="92" t="s">
        <v>15</v>
      </c>
      <c r="AM6" s="92" t="s">
        <v>158</v>
      </c>
      <c r="AN6" s="91"/>
      <c r="AO6" s="91"/>
      <c r="AP6" s="91"/>
      <c r="AQ6" s="91"/>
      <c r="AR6" s="91"/>
      <c r="AS6" s="91"/>
      <c r="AT6" s="3"/>
    </row>
    <row r="7" spans="1:46" ht="12.75" customHeight="1" x14ac:dyDescent="0.2">
      <c r="A7" s="1"/>
      <c r="C7" s="11"/>
      <c r="D7" s="11"/>
      <c r="E7" s="11"/>
      <c r="F7" s="11"/>
      <c r="G7" s="1"/>
      <c r="H7" s="1"/>
      <c r="I7" s="57"/>
      <c r="J7" s="61"/>
      <c r="K7" s="61"/>
      <c r="L7" s="61"/>
      <c r="M7" s="61"/>
      <c r="N7" s="5"/>
      <c r="O7" s="5"/>
      <c r="P7" s="5"/>
      <c r="Q7" s="6"/>
      <c r="R7" s="6"/>
      <c r="S7" s="6"/>
      <c r="T7" s="6"/>
      <c r="U7" s="5"/>
      <c r="W7" s="61"/>
      <c r="X7" s="61">
        <v>4</v>
      </c>
      <c r="Y7" s="95"/>
      <c r="Z7" s="100" t="str">
        <f t="shared" si="0"/>
        <v/>
      </c>
      <c r="AA7" s="101"/>
      <c r="AB7" s="95"/>
      <c r="AC7" s="95"/>
      <c r="AD7" s="95">
        <f>VALUE(AD6)</f>
        <v>20</v>
      </c>
      <c r="AE7" s="95" t="s">
        <v>110</v>
      </c>
      <c r="AF7" s="95"/>
      <c r="AG7" s="95"/>
      <c r="AH7" s="95"/>
      <c r="AI7" s="92"/>
      <c r="AJ7" s="92"/>
      <c r="AK7" s="92" t="s">
        <v>167</v>
      </c>
      <c r="AL7" s="92" t="s">
        <v>16</v>
      </c>
      <c r="AM7" s="92" t="s">
        <v>159</v>
      </c>
      <c r="AN7" s="91"/>
      <c r="AO7" s="91"/>
      <c r="AP7" s="91"/>
      <c r="AQ7" s="91"/>
      <c r="AR7" s="91"/>
      <c r="AS7" s="91"/>
      <c r="AT7" s="3"/>
    </row>
    <row r="8" spans="1:46" ht="12.75" customHeight="1" x14ac:dyDescent="0.2">
      <c r="A8" s="1"/>
      <c r="B8" s="64" t="s">
        <v>17</v>
      </c>
      <c r="C8" s="64"/>
      <c r="D8" s="64"/>
      <c r="E8" s="64"/>
      <c r="F8" s="64"/>
      <c r="G8" s="64"/>
      <c r="H8" s="64"/>
      <c r="I8" s="57"/>
      <c r="J8" s="62"/>
      <c r="K8" s="61"/>
      <c r="L8" s="61"/>
      <c r="M8" s="61"/>
      <c r="N8" s="5"/>
      <c r="O8" s="5"/>
      <c r="P8" s="5"/>
      <c r="Q8" s="6"/>
      <c r="R8" s="6"/>
      <c r="S8" s="6"/>
      <c r="T8" s="6"/>
      <c r="U8" s="5"/>
      <c r="W8" s="61"/>
      <c r="X8" s="61">
        <v>5</v>
      </c>
      <c r="Y8" s="95"/>
      <c r="Z8" s="100" t="str">
        <f t="shared" si="0"/>
        <v/>
      </c>
      <c r="AA8" s="101"/>
      <c r="AB8" s="96" t="s">
        <v>18</v>
      </c>
      <c r="AC8" s="96"/>
      <c r="AD8" s="95">
        <v>0</v>
      </c>
      <c r="AE8" s="95"/>
      <c r="AF8" s="95"/>
      <c r="AG8" s="95"/>
      <c r="AH8" s="95"/>
      <c r="AI8" s="92"/>
      <c r="AJ8" s="92"/>
      <c r="AK8" s="92" t="s">
        <v>3</v>
      </c>
      <c r="AL8" s="92" t="s">
        <v>162</v>
      </c>
      <c r="AM8" s="92" t="s">
        <v>163</v>
      </c>
      <c r="AN8" s="91"/>
      <c r="AO8" s="91"/>
      <c r="AP8" s="91"/>
      <c r="AQ8" s="91"/>
      <c r="AR8" s="91"/>
      <c r="AS8" s="91"/>
      <c r="AT8" s="3"/>
    </row>
    <row r="9" spans="1:46" ht="12.75" customHeight="1" x14ac:dyDescent="0.2">
      <c r="A9" s="1"/>
      <c r="B9" s="64"/>
      <c r="C9" s="64"/>
      <c r="D9" s="64"/>
      <c r="E9" s="64"/>
      <c r="F9" s="64"/>
      <c r="G9" s="64"/>
      <c r="H9" s="64"/>
      <c r="I9" s="57"/>
      <c r="J9" s="59"/>
      <c r="K9" s="57"/>
      <c r="L9" s="57"/>
      <c r="M9" s="57"/>
      <c r="N9" s="5"/>
      <c r="O9" s="5"/>
      <c r="P9" s="5"/>
      <c r="Q9" s="6"/>
      <c r="R9" s="6"/>
      <c r="S9" s="6"/>
      <c r="T9" s="6"/>
      <c r="U9" s="5"/>
      <c r="W9" s="61"/>
      <c r="X9" s="61">
        <v>6</v>
      </c>
      <c r="Y9" s="95"/>
      <c r="Z9" s="100" t="str">
        <f t="shared" si="0"/>
        <v/>
      </c>
      <c r="AA9" s="101"/>
      <c r="AB9" s="95"/>
      <c r="AC9" s="95"/>
      <c r="AD9" s="95"/>
      <c r="AE9" s="95"/>
      <c r="AF9" s="95"/>
      <c r="AG9" s="95"/>
      <c r="AH9" s="95"/>
      <c r="AI9" s="92"/>
      <c r="AJ9" s="92"/>
      <c r="AK9" s="92" t="s">
        <v>16</v>
      </c>
      <c r="AL9" s="92" t="s">
        <v>167</v>
      </c>
      <c r="AM9" s="92" t="s">
        <v>168</v>
      </c>
      <c r="AN9" s="91"/>
      <c r="AO9" s="91"/>
      <c r="AP9" s="91"/>
      <c r="AQ9" s="91"/>
      <c r="AR9" s="91"/>
      <c r="AS9" s="91"/>
      <c r="AT9" s="3"/>
    </row>
    <row r="10" spans="1:46" ht="12.75" customHeight="1" thickBot="1" x14ac:dyDescent="0.25">
      <c r="A10" s="1"/>
      <c r="B10" s="65"/>
      <c r="C10" s="65"/>
      <c r="D10" s="65"/>
      <c r="E10" s="65"/>
      <c r="F10" s="65"/>
      <c r="G10" s="65"/>
      <c r="H10" s="65"/>
      <c r="I10" s="1"/>
      <c r="J10" s="1"/>
      <c r="K10" s="6"/>
      <c r="L10" s="5"/>
      <c r="M10" s="5"/>
      <c r="N10" s="5"/>
      <c r="O10" s="5"/>
      <c r="P10" s="5"/>
      <c r="Q10" s="6"/>
      <c r="R10" s="6"/>
      <c r="S10" s="6"/>
      <c r="T10" s="6"/>
      <c r="U10" s="5"/>
      <c r="W10" s="61"/>
      <c r="X10" s="61">
        <v>7</v>
      </c>
      <c r="Y10" s="95"/>
      <c r="Z10" s="100" t="str">
        <f>IF(Y10="","",7*X10+DATE($Y$3,1,3)-WEEKDAY(DATE($Y$3,1,3))-2)</f>
        <v/>
      </c>
      <c r="AA10" s="101"/>
      <c r="AB10" s="104"/>
      <c r="AC10" s="95"/>
      <c r="AD10" s="95"/>
      <c r="AE10" s="104"/>
      <c r="AF10" s="95"/>
      <c r="AG10" s="95"/>
      <c r="AH10" s="104"/>
      <c r="AI10" s="92"/>
      <c r="AJ10" s="92"/>
      <c r="AK10" s="92"/>
      <c r="AL10" s="92"/>
      <c r="AM10" s="92"/>
      <c r="AN10" s="91"/>
      <c r="AO10" s="91"/>
      <c r="AP10" s="91"/>
      <c r="AQ10" s="91"/>
      <c r="AR10" s="91"/>
      <c r="AS10" s="91"/>
      <c r="AT10" s="3"/>
    </row>
    <row r="11" spans="1:46" ht="13.5" customHeight="1" thickBot="1" x14ac:dyDescent="0.25">
      <c r="A11" s="1"/>
      <c r="B11" s="55" t="s">
        <v>161</v>
      </c>
      <c r="C11" s="66" t="s">
        <v>169</v>
      </c>
      <c r="D11" s="67"/>
      <c r="E11" s="67"/>
      <c r="F11" s="67"/>
      <c r="G11" s="66" t="s">
        <v>152</v>
      </c>
      <c r="H11" s="68"/>
      <c r="I11" s="1"/>
      <c r="J11" s="1"/>
      <c r="K11" s="6"/>
      <c r="L11" s="5"/>
      <c r="M11" s="5"/>
      <c r="N11" s="5"/>
      <c r="O11" s="5"/>
      <c r="P11" s="5"/>
      <c r="Q11" s="6"/>
      <c r="R11" s="6"/>
      <c r="S11" s="6"/>
      <c r="T11" s="6"/>
      <c r="U11" s="5"/>
      <c r="V11" s="6"/>
      <c r="W11" s="61"/>
      <c r="X11" s="61">
        <v>8</v>
      </c>
      <c r="Y11" s="95"/>
      <c r="Z11" s="100" t="str">
        <f t="shared" si="0"/>
        <v/>
      </c>
      <c r="AA11" s="109"/>
      <c r="AB11" s="110"/>
      <c r="AC11" s="111"/>
      <c r="AD11" s="111"/>
      <c r="AE11" s="110"/>
      <c r="AF11" s="111"/>
      <c r="AG11" s="111"/>
      <c r="AH11" s="110"/>
      <c r="AI11" s="112"/>
      <c r="AJ11" s="91"/>
      <c r="AK11" s="91"/>
      <c r="AL11" s="92"/>
      <c r="AM11" s="92"/>
      <c r="AN11" s="91"/>
      <c r="AO11" s="91"/>
      <c r="AP11" s="91"/>
      <c r="AQ11" s="91"/>
      <c r="AR11" s="91"/>
      <c r="AS11" s="91"/>
      <c r="AT11" s="3"/>
    </row>
    <row r="12" spans="1:46" ht="18" customHeight="1" thickBot="1" x14ac:dyDescent="0.3">
      <c r="A12" s="1"/>
      <c r="B12" s="12"/>
      <c r="C12" s="69"/>
      <c r="D12" s="70"/>
      <c r="E12" s="70"/>
      <c r="F12" s="71"/>
      <c r="G12" s="72"/>
      <c r="H12" s="71"/>
      <c r="I12" s="13"/>
      <c r="J12" s="6"/>
      <c r="K12" s="6"/>
      <c r="L12" s="5"/>
      <c r="M12" s="5"/>
      <c r="N12" s="5"/>
      <c r="O12" s="5"/>
      <c r="P12" s="5"/>
      <c r="Q12" s="6"/>
      <c r="R12" s="6"/>
      <c r="S12" s="6"/>
      <c r="T12" s="6"/>
      <c r="U12" s="5"/>
      <c r="V12" s="6"/>
      <c r="W12" s="61"/>
      <c r="X12" s="61">
        <v>9</v>
      </c>
      <c r="Y12" s="95"/>
      <c r="Z12" s="100" t="str">
        <f t="shared" si="0"/>
        <v/>
      </c>
      <c r="AA12" s="113"/>
      <c r="AB12" s="105"/>
      <c r="AC12" s="105"/>
      <c r="AD12" s="105"/>
      <c r="AE12" s="106"/>
      <c r="AF12" s="105"/>
      <c r="AG12" s="105"/>
      <c r="AH12" s="105"/>
      <c r="AI12" s="114"/>
      <c r="AJ12" s="91"/>
      <c r="AK12" s="91"/>
      <c r="AL12" s="92"/>
      <c r="AM12" s="92"/>
      <c r="AN12" s="91"/>
      <c r="AO12" s="91"/>
      <c r="AP12" s="91"/>
      <c r="AQ12" s="91"/>
      <c r="AR12" s="91"/>
      <c r="AS12" s="91"/>
      <c r="AT12" s="3"/>
    </row>
    <row r="13" spans="1:46" ht="18" customHeight="1" thickBot="1" x14ac:dyDescent="0.3">
      <c r="A13" s="1"/>
      <c r="B13" s="12"/>
      <c r="C13" s="73"/>
      <c r="D13" s="70"/>
      <c r="E13" s="70"/>
      <c r="F13" s="71"/>
      <c r="G13" s="72"/>
      <c r="H13" s="71"/>
      <c r="I13" s="14"/>
      <c r="J13" s="14"/>
      <c r="K13" s="15"/>
      <c r="L13" s="16"/>
      <c r="M13" s="16"/>
      <c r="N13" s="16"/>
      <c r="O13" s="16"/>
      <c r="P13" s="16"/>
      <c r="Q13" s="15"/>
      <c r="R13" s="15"/>
      <c r="S13" s="6"/>
      <c r="T13" s="6"/>
      <c r="U13" s="5"/>
      <c r="V13" s="6"/>
      <c r="W13" s="61"/>
      <c r="X13" s="61">
        <v>10</v>
      </c>
      <c r="Y13" s="95" t="s">
        <v>3</v>
      </c>
      <c r="Z13" s="100">
        <f t="shared" ca="1" si="0"/>
        <v>43167</v>
      </c>
      <c r="AA13" s="113"/>
      <c r="AB13" s="105"/>
      <c r="AC13" s="105"/>
      <c r="AD13" s="105"/>
      <c r="AE13" s="106"/>
      <c r="AF13" s="105"/>
      <c r="AG13" s="105"/>
      <c r="AH13" s="105"/>
      <c r="AI13" s="114"/>
      <c r="AJ13" s="91"/>
      <c r="AK13" s="91"/>
      <c r="AL13" s="92"/>
      <c r="AM13" s="92"/>
      <c r="AN13" s="91"/>
      <c r="AO13" s="91"/>
      <c r="AP13" s="91"/>
      <c r="AQ13" s="91"/>
      <c r="AR13" s="91"/>
      <c r="AS13" s="91"/>
      <c r="AT13" s="3"/>
    </row>
    <row r="14" spans="1:46" ht="18" customHeight="1" thickBot="1" x14ac:dyDescent="0.3">
      <c r="A14" s="1"/>
      <c r="B14" s="12"/>
      <c r="C14" s="74"/>
      <c r="D14" s="70"/>
      <c r="E14" s="70"/>
      <c r="F14" s="71"/>
      <c r="G14" s="72"/>
      <c r="H14" s="71"/>
      <c r="J14" s="17"/>
      <c r="K14" s="6"/>
      <c r="L14" s="5"/>
      <c r="M14" s="16"/>
      <c r="N14" s="18"/>
      <c r="O14" s="18"/>
      <c r="P14" s="18"/>
      <c r="Q14" s="19"/>
      <c r="R14" s="19"/>
      <c r="S14" s="19"/>
      <c r="T14" s="19"/>
      <c r="U14" s="18"/>
      <c r="V14" s="19"/>
      <c r="W14" s="107"/>
      <c r="X14" s="61">
        <v>11</v>
      </c>
      <c r="Y14" s="95"/>
      <c r="Z14" s="100" t="str">
        <f t="shared" si="0"/>
        <v/>
      </c>
      <c r="AA14" s="113"/>
      <c r="AB14" s="107"/>
      <c r="AC14" s="105"/>
      <c r="AD14" s="105"/>
      <c r="AE14" s="106"/>
      <c r="AF14" s="105"/>
      <c r="AG14" s="105"/>
      <c r="AH14" s="105"/>
      <c r="AI14" s="114"/>
      <c r="AJ14" s="91"/>
      <c r="AK14" s="91"/>
      <c r="AL14" s="92"/>
      <c r="AM14" s="92"/>
      <c r="AN14" s="91"/>
      <c r="AO14" s="91"/>
      <c r="AP14" s="91"/>
      <c r="AQ14" s="91"/>
      <c r="AR14" s="91"/>
      <c r="AS14" s="91"/>
      <c r="AT14" s="3"/>
    </row>
    <row r="15" spans="1:46" ht="18" customHeight="1" thickBot="1" x14ac:dyDescent="0.3">
      <c r="A15" s="1"/>
      <c r="B15" s="12"/>
      <c r="C15" s="74"/>
      <c r="D15" s="70"/>
      <c r="E15" s="70"/>
      <c r="F15" s="71"/>
      <c r="G15" s="72"/>
      <c r="H15" s="71"/>
      <c r="I15" s="17"/>
      <c r="J15" s="17"/>
      <c r="K15" s="6"/>
      <c r="L15" s="5"/>
      <c r="M15" s="5"/>
      <c r="N15" s="5"/>
      <c r="O15" s="5"/>
      <c r="P15" s="5"/>
      <c r="Q15" s="6"/>
      <c r="R15" s="6"/>
      <c r="S15" s="6"/>
      <c r="T15" s="6"/>
      <c r="U15" s="5"/>
      <c r="V15" s="6"/>
      <c r="W15" s="61"/>
      <c r="X15" s="61">
        <v>12</v>
      </c>
      <c r="Y15" s="95"/>
      <c r="Z15" s="100" t="str">
        <f t="shared" si="0"/>
        <v/>
      </c>
      <c r="AA15" s="115"/>
      <c r="AB15" s="105"/>
      <c r="AC15" s="105"/>
      <c r="AD15" s="105"/>
      <c r="AE15" s="106"/>
      <c r="AF15" s="105"/>
      <c r="AG15" s="105"/>
      <c r="AH15" s="105"/>
      <c r="AI15" s="114"/>
      <c r="AJ15" s="91"/>
      <c r="AK15" s="91"/>
      <c r="AL15" s="92"/>
      <c r="AM15" s="92"/>
      <c r="AN15" s="91"/>
      <c r="AO15" s="91"/>
      <c r="AP15" s="91"/>
      <c r="AQ15" s="91"/>
      <c r="AR15" s="91"/>
      <c r="AS15" s="91"/>
      <c r="AT15" s="3"/>
    </row>
    <row r="16" spans="1:46" ht="18" customHeight="1" thickBot="1" x14ac:dyDescent="0.3">
      <c r="A16" s="1"/>
      <c r="B16" s="12"/>
      <c r="C16" s="72"/>
      <c r="D16" s="70"/>
      <c r="E16" s="70"/>
      <c r="F16" s="71"/>
      <c r="G16" s="72"/>
      <c r="H16" s="71"/>
      <c r="I16" s="17"/>
      <c r="J16" s="17"/>
      <c r="K16" s="6"/>
      <c r="L16" s="5"/>
      <c r="M16" s="5"/>
      <c r="N16" s="5"/>
      <c r="O16" s="5"/>
      <c r="P16" s="5"/>
      <c r="Q16" s="6"/>
      <c r="R16" s="6"/>
      <c r="S16" s="6"/>
      <c r="T16" s="6"/>
      <c r="U16" s="5"/>
      <c r="V16" s="6"/>
      <c r="W16" s="61"/>
      <c r="X16" s="61">
        <v>13</v>
      </c>
      <c r="Y16" s="95"/>
      <c r="Z16" s="100" t="str">
        <f t="shared" si="0"/>
        <v/>
      </c>
      <c r="AA16" s="113"/>
      <c r="AB16" s="105"/>
      <c r="AC16" s="105"/>
      <c r="AD16" s="105"/>
      <c r="AE16" s="105"/>
      <c r="AF16" s="105"/>
      <c r="AG16" s="105"/>
      <c r="AH16" s="105"/>
      <c r="AI16" s="114"/>
      <c r="AJ16" s="91"/>
      <c r="AK16" s="91"/>
      <c r="AL16" s="92"/>
      <c r="AM16" s="92"/>
      <c r="AN16" s="91"/>
      <c r="AO16" s="91"/>
      <c r="AP16" s="91"/>
      <c r="AQ16" s="91"/>
      <c r="AR16" s="91"/>
      <c r="AS16" s="91"/>
      <c r="AT16" s="3"/>
    </row>
    <row r="17" spans="1:46" ht="18" customHeight="1" thickBot="1" x14ac:dyDescent="0.3">
      <c r="A17" s="1"/>
      <c r="B17" s="12"/>
      <c r="C17" s="73"/>
      <c r="D17" s="70"/>
      <c r="E17" s="70"/>
      <c r="F17" s="71"/>
      <c r="G17" s="75"/>
      <c r="H17" s="71"/>
      <c r="I17" s="17"/>
      <c r="J17" s="17"/>
      <c r="K17" s="6"/>
      <c r="L17" s="5"/>
      <c r="M17" s="5"/>
      <c r="N17" s="5"/>
      <c r="O17" s="5"/>
      <c r="P17" s="5"/>
      <c r="Q17" s="6"/>
      <c r="R17" s="6"/>
      <c r="S17" s="6"/>
      <c r="T17" s="6"/>
      <c r="U17" s="5"/>
      <c r="V17" s="5"/>
      <c r="W17" s="61"/>
      <c r="X17" s="61">
        <v>14</v>
      </c>
      <c r="Y17" s="95"/>
      <c r="Z17" s="100" t="str">
        <f t="shared" si="0"/>
        <v/>
      </c>
      <c r="AA17" s="113"/>
      <c r="AB17" s="105"/>
      <c r="AC17" s="105"/>
      <c r="AD17" s="105"/>
      <c r="AE17" s="105"/>
      <c r="AF17" s="105"/>
      <c r="AG17" s="105"/>
      <c r="AH17" s="105"/>
      <c r="AI17" s="114"/>
      <c r="AJ17" s="91"/>
      <c r="AK17" s="91"/>
      <c r="AL17" s="92"/>
      <c r="AM17" s="92"/>
      <c r="AN17" s="91"/>
      <c r="AO17" s="91"/>
      <c r="AP17" s="91"/>
      <c r="AQ17" s="91"/>
      <c r="AR17" s="91"/>
      <c r="AS17" s="91"/>
      <c r="AT17" s="3"/>
    </row>
    <row r="18" spans="1:46" ht="18" customHeight="1" thickBot="1" x14ac:dyDescent="0.3">
      <c r="A18" s="1"/>
      <c r="B18" s="12"/>
      <c r="C18" s="73"/>
      <c r="D18" s="70"/>
      <c r="E18" s="70"/>
      <c r="F18" s="71"/>
      <c r="G18" s="75"/>
      <c r="H18" s="71"/>
      <c r="I18" s="17"/>
      <c r="J18" s="17"/>
      <c r="K18" s="6"/>
      <c r="L18" s="5"/>
      <c r="M18" s="5"/>
      <c r="N18" s="5"/>
      <c r="O18" s="5"/>
      <c r="P18" s="5"/>
      <c r="Q18" s="6"/>
      <c r="R18" s="6"/>
      <c r="S18" s="6"/>
      <c r="T18" s="6"/>
      <c r="U18" s="5"/>
      <c r="V18" s="6"/>
      <c r="W18" s="61"/>
      <c r="X18" s="61">
        <v>15</v>
      </c>
      <c r="Y18" s="95"/>
      <c r="Z18" s="100" t="str">
        <f t="shared" si="0"/>
        <v/>
      </c>
      <c r="AA18" s="115"/>
      <c r="AB18" s="105"/>
      <c r="AC18" s="105"/>
      <c r="AD18" s="105"/>
      <c r="AE18" s="105"/>
      <c r="AF18" s="105"/>
      <c r="AG18" s="105"/>
      <c r="AH18" s="105"/>
      <c r="AI18" s="114"/>
      <c r="AJ18" s="91"/>
      <c r="AK18" s="91"/>
      <c r="AL18" s="92"/>
      <c r="AM18" s="92"/>
      <c r="AN18" s="91"/>
      <c r="AO18" s="91"/>
      <c r="AP18" s="91"/>
      <c r="AQ18" s="91"/>
      <c r="AR18" s="91"/>
      <c r="AS18" s="91"/>
      <c r="AT18" s="3"/>
    </row>
    <row r="19" spans="1:46" ht="18" customHeight="1" thickBot="1" x14ac:dyDescent="0.3">
      <c r="A19" s="1"/>
      <c r="B19" s="12"/>
      <c r="C19" s="75"/>
      <c r="D19" s="70"/>
      <c r="E19" s="70"/>
      <c r="F19" s="71"/>
      <c r="G19" s="72"/>
      <c r="H19" s="71"/>
      <c r="I19" s="17"/>
      <c r="J19" s="17"/>
      <c r="K19" s="6"/>
      <c r="L19" s="6"/>
      <c r="M19" s="6"/>
      <c r="N19" s="6"/>
      <c r="O19" s="6"/>
      <c r="P19" s="6"/>
      <c r="Q19" s="6"/>
      <c r="R19" s="6"/>
      <c r="S19" s="6"/>
      <c r="T19" s="6"/>
      <c r="U19" s="5"/>
      <c r="V19" s="6"/>
      <c r="W19" s="61"/>
      <c r="X19" s="61">
        <v>16</v>
      </c>
      <c r="Y19" s="95"/>
      <c r="Z19" s="100" t="str">
        <f t="shared" si="0"/>
        <v/>
      </c>
      <c r="AA19" s="113"/>
      <c r="AB19" s="105"/>
      <c r="AC19" s="105"/>
      <c r="AD19" s="105"/>
      <c r="AE19" s="105"/>
      <c r="AF19" s="105"/>
      <c r="AG19" s="105"/>
      <c r="AH19" s="105"/>
      <c r="AI19" s="114"/>
      <c r="AJ19" s="91"/>
      <c r="AK19" s="91"/>
      <c r="AL19" s="92"/>
      <c r="AM19" s="92"/>
      <c r="AN19" s="91"/>
      <c r="AO19" s="91"/>
      <c r="AP19" s="91"/>
      <c r="AQ19" s="91"/>
      <c r="AR19" s="91"/>
      <c r="AS19" s="91"/>
      <c r="AT19" s="3"/>
    </row>
    <row r="20" spans="1:46" ht="18" customHeight="1" thickBot="1" x14ac:dyDescent="0.3">
      <c r="A20" s="1"/>
      <c r="B20" s="12"/>
      <c r="C20" s="75"/>
      <c r="D20" s="70"/>
      <c r="E20" s="70"/>
      <c r="F20" s="71"/>
      <c r="G20" s="75"/>
      <c r="H20" s="71"/>
      <c r="I20" s="17"/>
      <c r="J20" s="17"/>
      <c r="K20" s="6"/>
      <c r="L20" s="6"/>
      <c r="M20" s="6"/>
      <c r="N20" s="6"/>
      <c r="O20" s="6"/>
      <c r="P20" s="6"/>
      <c r="Q20" s="6"/>
      <c r="R20" s="6"/>
      <c r="S20" s="6"/>
      <c r="T20" s="6"/>
      <c r="U20" s="5"/>
      <c r="V20" s="6"/>
      <c r="W20" s="61"/>
      <c r="X20" s="61">
        <v>17</v>
      </c>
      <c r="Y20" s="95"/>
      <c r="Z20" s="100" t="str">
        <f t="shared" si="0"/>
        <v/>
      </c>
      <c r="AA20" s="113"/>
      <c r="AB20" s="105"/>
      <c r="AC20" s="105"/>
      <c r="AD20" s="105"/>
      <c r="AE20" s="105"/>
      <c r="AF20" s="105"/>
      <c r="AG20" s="105"/>
      <c r="AH20" s="105"/>
      <c r="AI20" s="114"/>
      <c r="AJ20" s="91"/>
      <c r="AK20" s="91"/>
      <c r="AL20" s="92"/>
      <c r="AM20" s="92"/>
      <c r="AN20" s="91"/>
      <c r="AO20" s="91"/>
      <c r="AP20" s="91"/>
      <c r="AQ20" s="91"/>
      <c r="AR20" s="91"/>
      <c r="AS20" s="91"/>
      <c r="AT20" s="3"/>
    </row>
    <row r="21" spans="1:46" ht="18" customHeight="1" thickBot="1" x14ac:dyDescent="0.3">
      <c r="A21" s="1"/>
      <c r="B21" s="12"/>
      <c r="C21" s="75"/>
      <c r="D21" s="70"/>
      <c r="E21" s="70"/>
      <c r="F21" s="71"/>
      <c r="G21" s="75"/>
      <c r="H21" s="71"/>
      <c r="I21" s="17"/>
      <c r="J21" s="17"/>
      <c r="K21" s="6"/>
      <c r="L21" s="6"/>
      <c r="M21" s="6"/>
      <c r="N21" s="6"/>
      <c r="O21" s="6"/>
      <c r="P21" s="6"/>
      <c r="Q21" s="6"/>
      <c r="R21" s="6"/>
      <c r="S21" s="6"/>
      <c r="T21" s="6"/>
      <c r="U21" s="5"/>
      <c r="V21" s="6"/>
      <c r="W21" s="61"/>
      <c r="X21" s="61">
        <v>18</v>
      </c>
      <c r="Y21" s="95"/>
      <c r="Z21" s="100" t="str">
        <f t="shared" si="0"/>
        <v/>
      </c>
      <c r="AA21" s="113"/>
      <c r="AB21" s="105"/>
      <c r="AC21" s="105"/>
      <c r="AD21" s="105"/>
      <c r="AE21" s="105"/>
      <c r="AF21" s="105"/>
      <c r="AG21" s="105"/>
      <c r="AH21" s="105"/>
      <c r="AI21" s="114"/>
      <c r="AJ21" s="91"/>
      <c r="AK21" s="91"/>
      <c r="AL21" s="92"/>
      <c r="AM21" s="92"/>
      <c r="AN21" s="91"/>
      <c r="AO21" s="91"/>
      <c r="AP21" s="91"/>
      <c r="AQ21" s="91"/>
      <c r="AR21" s="91"/>
      <c r="AS21" s="91"/>
      <c r="AT21" s="3"/>
    </row>
    <row r="22" spans="1:46" ht="18" customHeight="1" thickBot="1" x14ac:dyDescent="0.3">
      <c r="A22" s="1"/>
      <c r="B22" s="12"/>
      <c r="C22" s="75"/>
      <c r="D22" s="70"/>
      <c r="E22" s="70"/>
      <c r="F22" s="71"/>
      <c r="G22" s="75"/>
      <c r="H22" s="71"/>
      <c r="I22" s="17"/>
      <c r="J22" s="17"/>
      <c r="K22" s="6"/>
      <c r="L22" s="6"/>
      <c r="M22" s="6"/>
      <c r="N22" s="6"/>
      <c r="O22" s="6"/>
      <c r="P22" s="6"/>
      <c r="Q22" s="6"/>
      <c r="R22" s="6"/>
      <c r="S22" s="6"/>
      <c r="T22" s="6"/>
      <c r="U22" s="5"/>
      <c r="V22" s="6"/>
      <c r="W22" s="61"/>
      <c r="X22" s="61">
        <v>19</v>
      </c>
      <c r="Y22" s="95"/>
      <c r="Z22" s="100" t="str">
        <f t="shared" si="0"/>
        <v/>
      </c>
      <c r="AA22" s="113"/>
      <c r="AB22" s="105"/>
      <c r="AC22" s="105"/>
      <c r="AD22" s="105"/>
      <c r="AE22" s="105"/>
      <c r="AF22" s="105"/>
      <c r="AG22" s="105"/>
      <c r="AH22" s="105"/>
      <c r="AI22" s="114"/>
      <c r="AJ22" s="91"/>
      <c r="AK22" s="91"/>
      <c r="AL22" s="92"/>
      <c r="AM22" s="92"/>
      <c r="AN22" s="91"/>
      <c r="AO22" s="91"/>
      <c r="AP22" s="91"/>
      <c r="AQ22" s="91"/>
      <c r="AR22" s="91"/>
      <c r="AS22" s="91"/>
      <c r="AT22" s="3"/>
    </row>
    <row r="23" spans="1:46" ht="18" customHeight="1" thickBot="1" x14ac:dyDescent="0.3">
      <c r="A23" s="1"/>
      <c r="B23" s="12"/>
      <c r="C23" s="75"/>
      <c r="D23" s="70"/>
      <c r="E23" s="70"/>
      <c r="F23" s="71"/>
      <c r="G23" s="75"/>
      <c r="H23" s="71"/>
      <c r="I23" s="17"/>
      <c r="J23" s="17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1"/>
      <c r="X23" s="61">
        <v>20</v>
      </c>
      <c r="Y23" s="95"/>
      <c r="Z23" s="100" t="str">
        <f t="shared" si="0"/>
        <v/>
      </c>
      <c r="AA23" s="113"/>
      <c r="AB23" s="105"/>
      <c r="AC23" s="105"/>
      <c r="AD23" s="105"/>
      <c r="AE23" s="105"/>
      <c r="AF23" s="105"/>
      <c r="AG23" s="105"/>
      <c r="AH23" s="105"/>
      <c r="AI23" s="114"/>
      <c r="AJ23" s="91"/>
      <c r="AK23" s="91"/>
      <c r="AL23" s="92"/>
      <c r="AM23" s="92"/>
      <c r="AN23" s="91"/>
      <c r="AO23" s="91"/>
      <c r="AP23" s="91"/>
      <c r="AQ23" s="91"/>
      <c r="AR23" s="91"/>
      <c r="AS23" s="91"/>
      <c r="AT23" s="3"/>
    </row>
    <row r="24" spans="1:46" ht="18" customHeight="1" thickBot="1" x14ac:dyDescent="0.3">
      <c r="A24" s="1"/>
      <c r="B24" s="12"/>
      <c r="C24" s="75"/>
      <c r="D24" s="70"/>
      <c r="E24" s="70"/>
      <c r="F24" s="71"/>
      <c r="G24" s="75"/>
      <c r="H24" s="71"/>
      <c r="I24" s="17"/>
      <c r="J24" s="17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1"/>
      <c r="X24" s="61">
        <v>21</v>
      </c>
      <c r="Y24" s="95"/>
      <c r="Z24" s="100" t="str">
        <f t="shared" si="0"/>
        <v/>
      </c>
      <c r="AA24" s="113"/>
      <c r="AB24" s="105"/>
      <c r="AC24" s="105"/>
      <c r="AD24" s="105"/>
      <c r="AE24" s="105"/>
      <c r="AF24" s="105"/>
      <c r="AG24" s="105"/>
      <c r="AH24" s="105"/>
      <c r="AI24" s="114"/>
      <c r="AJ24" s="91"/>
      <c r="AK24" s="91"/>
      <c r="AL24" s="92"/>
      <c r="AM24" s="92"/>
      <c r="AN24" s="91"/>
      <c r="AO24" s="91"/>
      <c r="AP24" s="91"/>
      <c r="AQ24" s="91"/>
      <c r="AR24" s="91"/>
      <c r="AS24" s="91"/>
      <c r="AT24" s="3"/>
    </row>
    <row r="25" spans="1:46" ht="18" customHeight="1" thickBot="1" x14ac:dyDescent="0.3">
      <c r="A25" s="1"/>
      <c r="B25" s="12"/>
      <c r="C25" s="75"/>
      <c r="D25" s="70"/>
      <c r="E25" s="70"/>
      <c r="F25" s="71"/>
      <c r="G25" s="75"/>
      <c r="H25" s="71"/>
      <c r="I25" s="17"/>
      <c r="J25" s="17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1"/>
      <c r="X25" s="61">
        <v>22</v>
      </c>
      <c r="Y25" s="95"/>
      <c r="Z25" s="100" t="str">
        <f t="shared" si="0"/>
        <v/>
      </c>
      <c r="AA25" s="113"/>
      <c r="AB25" s="105"/>
      <c r="AC25" s="105"/>
      <c r="AD25" s="105"/>
      <c r="AE25" s="105"/>
      <c r="AF25" s="105"/>
      <c r="AG25" s="105"/>
      <c r="AH25" s="105"/>
      <c r="AI25" s="114"/>
      <c r="AJ25" s="91"/>
      <c r="AK25" s="91"/>
      <c r="AL25" s="92"/>
      <c r="AM25" s="92"/>
      <c r="AN25" s="91"/>
      <c r="AO25" s="91"/>
      <c r="AP25" s="91"/>
      <c r="AQ25" s="91"/>
      <c r="AR25" s="91"/>
      <c r="AS25" s="91"/>
      <c r="AT25" s="3"/>
    </row>
    <row r="26" spans="1:46" ht="18" customHeight="1" thickBot="1" x14ac:dyDescent="0.3">
      <c r="A26" s="1"/>
      <c r="B26" s="12"/>
      <c r="C26" s="75"/>
      <c r="D26" s="70"/>
      <c r="E26" s="70"/>
      <c r="F26" s="71"/>
      <c r="G26" s="75"/>
      <c r="H26" s="71"/>
      <c r="I26" s="17"/>
      <c r="J26" s="17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1"/>
      <c r="X26" s="61">
        <v>23</v>
      </c>
      <c r="Y26" s="95"/>
      <c r="Z26" s="100" t="str">
        <f t="shared" si="0"/>
        <v/>
      </c>
      <c r="AA26" s="113"/>
      <c r="AB26" s="105"/>
      <c r="AC26" s="105"/>
      <c r="AD26" s="105"/>
      <c r="AE26" s="105"/>
      <c r="AF26" s="105"/>
      <c r="AG26" s="105"/>
      <c r="AH26" s="105"/>
      <c r="AI26" s="114"/>
      <c r="AJ26" s="91"/>
      <c r="AK26" s="91"/>
      <c r="AL26" s="92"/>
      <c r="AM26" s="92"/>
      <c r="AN26" s="91"/>
      <c r="AO26" s="91"/>
      <c r="AP26" s="91"/>
      <c r="AQ26" s="91"/>
      <c r="AR26" s="91"/>
      <c r="AS26" s="91"/>
      <c r="AT26" s="3"/>
    </row>
    <row r="27" spans="1:46" ht="18" customHeight="1" thickBot="1" x14ac:dyDescent="0.3">
      <c r="A27" s="1"/>
      <c r="B27" s="12"/>
      <c r="C27" s="75"/>
      <c r="D27" s="70"/>
      <c r="E27" s="70"/>
      <c r="F27" s="71"/>
      <c r="G27" s="75"/>
      <c r="H27" s="71"/>
      <c r="I27" s="17"/>
      <c r="J27" s="1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1"/>
      <c r="X27" s="61">
        <v>24</v>
      </c>
      <c r="Y27" s="95"/>
      <c r="Z27" s="100" t="str">
        <f t="shared" si="0"/>
        <v/>
      </c>
      <c r="AA27" s="113"/>
      <c r="AB27" s="105"/>
      <c r="AC27" s="105"/>
      <c r="AD27" s="105"/>
      <c r="AE27" s="105"/>
      <c r="AF27" s="105"/>
      <c r="AG27" s="105"/>
      <c r="AH27" s="105"/>
      <c r="AI27" s="114"/>
      <c r="AJ27" s="91"/>
      <c r="AK27" s="91"/>
      <c r="AL27" s="92"/>
      <c r="AM27" s="92"/>
      <c r="AN27" s="91"/>
      <c r="AO27" s="91"/>
      <c r="AP27" s="91"/>
      <c r="AQ27" s="91"/>
      <c r="AR27" s="91"/>
      <c r="AS27" s="91"/>
      <c r="AT27" s="3"/>
    </row>
    <row r="28" spans="1:46" ht="18" customHeight="1" thickBot="1" x14ac:dyDescent="0.3">
      <c r="A28" s="1"/>
      <c r="B28" s="12"/>
      <c r="C28" s="75"/>
      <c r="D28" s="70"/>
      <c r="E28" s="70"/>
      <c r="F28" s="71"/>
      <c r="G28" s="75"/>
      <c r="H28" s="71"/>
      <c r="I28" s="17"/>
      <c r="J28" s="17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1"/>
      <c r="X28" s="61">
        <v>25</v>
      </c>
      <c r="Y28" s="91"/>
      <c r="Z28" s="100" t="str">
        <f t="shared" ref="Z28:Z33" si="1">IF(Y40="","",7*X28+DATE($Y$3,1,3)-WEEKDAY(DATE($Y$3,1,3))-2)</f>
        <v/>
      </c>
      <c r="AA28" s="113"/>
      <c r="AB28" s="105"/>
      <c r="AC28" s="105"/>
      <c r="AD28" s="105"/>
      <c r="AE28" s="105"/>
      <c r="AF28" s="105"/>
      <c r="AG28" s="105"/>
      <c r="AH28" s="105"/>
      <c r="AI28" s="114"/>
      <c r="AJ28" s="91"/>
      <c r="AK28" s="91"/>
      <c r="AL28" s="92"/>
      <c r="AM28" s="92"/>
      <c r="AN28" s="91"/>
      <c r="AO28" s="91"/>
      <c r="AP28" s="91"/>
      <c r="AQ28" s="91"/>
      <c r="AR28" s="91"/>
      <c r="AS28" s="91"/>
      <c r="AT28" s="3"/>
    </row>
    <row r="29" spans="1:46" ht="18" customHeight="1" thickBot="1" x14ac:dyDescent="0.3">
      <c r="A29" s="1"/>
      <c r="B29" s="12"/>
      <c r="C29" s="75"/>
      <c r="D29" s="70"/>
      <c r="E29" s="70"/>
      <c r="F29" s="71"/>
      <c r="G29" s="75"/>
      <c r="H29" s="71"/>
      <c r="I29" s="17"/>
      <c r="J29" s="17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1"/>
      <c r="X29" s="61">
        <v>26</v>
      </c>
      <c r="Y29" s="91"/>
      <c r="Z29" s="100" t="str">
        <f t="shared" si="1"/>
        <v/>
      </c>
      <c r="AA29" s="113"/>
      <c r="AB29" s="105"/>
      <c r="AC29" s="105"/>
      <c r="AD29" s="105"/>
      <c r="AE29" s="105"/>
      <c r="AF29" s="105"/>
      <c r="AG29" s="105"/>
      <c r="AH29" s="105"/>
      <c r="AI29" s="114"/>
      <c r="AJ29" s="91"/>
      <c r="AK29" s="91"/>
      <c r="AL29" s="92"/>
      <c r="AM29" s="92"/>
      <c r="AN29" s="91"/>
      <c r="AO29" s="91"/>
      <c r="AP29" s="91"/>
      <c r="AQ29" s="91"/>
      <c r="AR29" s="91"/>
      <c r="AS29" s="91"/>
      <c r="AT29" s="3"/>
    </row>
    <row r="30" spans="1:46" ht="18" customHeight="1" thickBot="1" x14ac:dyDescent="0.3">
      <c r="A30" s="1"/>
      <c r="B30" s="12"/>
      <c r="C30" s="75"/>
      <c r="D30" s="70"/>
      <c r="E30" s="70"/>
      <c r="F30" s="71"/>
      <c r="G30" s="75"/>
      <c r="H30" s="71"/>
      <c r="I30" s="17"/>
      <c r="J30" s="17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1"/>
      <c r="X30" s="61">
        <v>27</v>
      </c>
      <c r="Y30" s="91"/>
      <c r="Z30" s="100" t="str">
        <f t="shared" si="1"/>
        <v/>
      </c>
      <c r="AA30" s="113"/>
      <c r="AB30" s="105"/>
      <c r="AC30" s="105"/>
      <c r="AD30" s="105"/>
      <c r="AE30" s="105"/>
      <c r="AF30" s="105"/>
      <c r="AG30" s="105"/>
      <c r="AH30" s="105"/>
      <c r="AI30" s="114"/>
      <c r="AJ30" s="91"/>
      <c r="AK30" s="91"/>
      <c r="AL30" s="92"/>
      <c r="AM30" s="92"/>
      <c r="AN30" s="91"/>
      <c r="AO30" s="91"/>
      <c r="AP30" s="91"/>
      <c r="AQ30" s="91"/>
      <c r="AR30" s="91"/>
      <c r="AS30" s="91"/>
      <c r="AT30" s="3"/>
    </row>
    <row r="31" spans="1:46" ht="18" customHeight="1" thickBot="1" x14ac:dyDescent="0.3">
      <c r="A31" s="1"/>
      <c r="B31" s="12"/>
      <c r="C31" s="75"/>
      <c r="D31" s="70"/>
      <c r="E31" s="70"/>
      <c r="F31" s="71"/>
      <c r="G31" s="75"/>
      <c r="H31" s="71"/>
      <c r="I31" s="1"/>
      <c r="J31" s="17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1"/>
      <c r="X31" s="61">
        <v>28</v>
      </c>
      <c r="Y31" s="91"/>
      <c r="Z31" s="100" t="str">
        <f t="shared" si="1"/>
        <v/>
      </c>
      <c r="AA31" s="113"/>
      <c r="AB31" s="105"/>
      <c r="AC31" s="105"/>
      <c r="AD31" s="105"/>
      <c r="AE31" s="105"/>
      <c r="AF31" s="105"/>
      <c r="AG31" s="105"/>
      <c r="AH31" s="105"/>
      <c r="AI31" s="114"/>
      <c r="AJ31" s="91"/>
      <c r="AK31" s="91"/>
      <c r="AL31" s="92"/>
      <c r="AM31" s="92"/>
      <c r="AN31" s="91"/>
      <c r="AO31" s="91"/>
      <c r="AP31" s="91"/>
      <c r="AQ31" s="91"/>
      <c r="AR31" s="91"/>
      <c r="AS31" s="91"/>
      <c r="AT31" s="3"/>
    </row>
    <row r="32" spans="1:46" ht="18" customHeight="1" thickBot="1" x14ac:dyDescent="0.3">
      <c r="A32" s="1"/>
      <c r="B32" s="12"/>
      <c r="C32" s="75"/>
      <c r="D32" s="70"/>
      <c r="E32" s="70"/>
      <c r="F32" s="71"/>
      <c r="G32" s="75"/>
      <c r="H32" s="71"/>
      <c r="I32" s="1"/>
      <c r="J32" s="17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1"/>
      <c r="X32" s="61">
        <v>29</v>
      </c>
      <c r="Y32" s="91"/>
      <c r="Z32" s="100" t="str">
        <f t="shared" si="1"/>
        <v/>
      </c>
      <c r="AA32" s="113"/>
      <c r="AB32" s="105"/>
      <c r="AC32" s="105"/>
      <c r="AD32" s="105"/>
      <c r="AE32" s="105"/>
      <c r="AF32" s="105"/>
      <c r="AG32" s="105"/>
      <c r="AH32" s="105"/>
      <c r="AI32" s="114"/>
      <c r="AJ32" s="91"/>
      <c r="AK32" s="91"/>
      <c r="AL32" s="92"/>
      <c r="AM32" s="92"/>
      <c r="AN32" s="91"/>
      <c r="AO32" s="91"/>
      <c r="AP32" s="91"/>
      <c r="AQ32" s="91"/>
      <c r="AR32" s="91"/>
      <c r="AS32" s="91"/>
      <c r="AT32" s="3"/>
    </row>
    <row r="33" spans="1:46" ht="18" customHeight="1" thickBot="1" x14ac:dyDescent="0.3">
      <c r="A33" s="1"/>
      <c r="B33" s="12"/>
      <c r="C33" s="75"/>
      <c r="D33" s="70"/>
      <c r="E33" s="70"/>
      <c r="F33" s="71"/>
      <c r="G33" s="75"/>
      <c r="H33" s="71"/>
      <c r="I33" s="1"/>
      <c r="J33" s="1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1"/>
      <c r="X33" s="61">
        <v>30</v>
      </c>
      <c r="Y33" s="91"/>
      <c r="Z33" s="100" t="str">
        <f t="shared" si="1"/>
        <v/>
      </c>
      <c r="AA33" s="113"/>
      <c r="AB33" s="105"/>
      <c r="AC33" s="105"/>
      <c r="AD33" s="105"/>
      <c r="AE33" s="105"/>
      <c r="AF33" s="105"/>
      <c r="AG33" s="105"/>
      <c r="AH33" s="105"/>
      <c r="AI33" s="114"/>
      <c r="AJ33" s="91"/>
      <c r="AK33" s="91"/>
      <c r="AL33" s="92"/>
      <c r="AM33" s="92"/>
      <c r="AN33" s="91"/>
      <c r="AO33" s="91"/>
      <c r="AP33" s="91"/>
      <c r="AQ33" s="91"/>
      <c r="AR33" s="91"/>
      <c r="AS33" s="91"/>
      <c r="AT33" s="3"/>
    </row>
    <row r="34" spans="1:46" x14ac:dyDescent="0.2">
      <c r="G34" s="77"/>
      <c r="H34" s="77"/>
      <c r="I34" s="1"/>
      <c r="J34" s="17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1"/>
      <c r="X34" s="61">
        <v>31</v>
      </c>
      <c r="Y34" s="95"/>
      <c r="Z34" s="100" t="str">
        <f t="shared" si="0"/>
        <v/>
      </c>
      <c r="AA34" s="113"/>
      <c r="AB34" s="105"/>
      <c r="AC34" s="105"/>
      <c r="AD34" s="105"/>
      <c r="AE34" s="105"/>
      <c r="AF34" s="105"/>
      <c r="AG34" s="105"/>
      <c r="AH34" s="105"/>
      <c r="AI34" s="114"/>
      <c r="AJ34" s="91"/>
      <c r="AK34" s="91"/>
      <c r="AL34" s="92"/>
      <c r="AM34" s="92"/>
      <c r="AN34" s="91"/>
      <c r="AO34" s="91"/>
      <c r="AP34" s="91"/>
      <c r="AQ34" s="91"/>
      <c r="AR34" s="91"/>
      <c r="AS34" s="91"/>
      <c r="AT34" s="3"/>
    </row>
    <row r="35" spans="1:46" x14ac:dyDescent="0.2">
      <c r="I35" s="1"/>
      <c r="J35" s="17"/>
      <c r="K35" s="6"/>
      <c r="L35" s="6"/>
      <c r="M35" s="6"/>
      <c r="N35" s="6"/>
      <c r="O35" s="6"/>
      <c r="P35" s="6"/>
      <c r="Q35" s="6"/>
      <c r="R35" s="6"/>
      <c r="S35" s="6"/>
      <c r="T35" s="6"/>
      <c r="U35" s="6">
        <f>WEEKDAY(1,1)</f>
        <v>1</v>
      </c>
      <c r="V35" s="6"/>
      <c r="W35" s="61"/>
      <c r="X35" s="61">
        <v>32</v>
      </c>
      <c r="Y35" s="95"/>
      <c r="Z35" s="100" t="str">
        <f t="shared" si="0"/>
        <v/>
      </c>
      <c r="AA35" s="113"/>
      <c r="AB35" s="105"/>
      <c r="AC35" s="105"/>
      <c r="AD35" s="105"/>
      <c r="AE35" s="105"/>
      <c r="AF35" s="105"/>
      <c r="AG35" s="105"/>
      <c r="AH35" s="105"/>
      <c r="AI35" s="114"/>
      <c r="AJ35" s="91"/>
      <c r="AK35" s="91"/>
      <c r="AL35" s="91"/>
      <c r="AM35" s="91"/>
      <c r="AN35" s="91"/>
      <c r="AO35" s="91"/>
      <c r="AP35" s="91"/>
      <c r="AQ35" s="91"/>
      <c r="AR35" s="91"/>
      <c r="AS35" s="91"/>
      <c r="AT35" s="3"/>
    </row>
    <row r="36" spans="1:46" x14ac:dyDescent="0.2">
      <c r="I36" s="1"/>
      <c r="J36" s="17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6"/>
      <c r="V36" s="6"/>
      <c r="W36" s="61"/>
      <c r="X36" s="61">
        <v>33</v>
      </c>
      <c r="Y36" s="95"/>
      <c r="Z36" s="100" t="str">
        <f t="shared" si="0"/>
        <v/>
      </c>
      <c r="AA36" s="113"/>
      <c r="AB36" s="105"/>
      <c r="AC36" s="105"/>
      <c r="AD36" s="105"/>
      <c r="AE36" s="105"/>
      <c r="AF36" s="105"/>
      <c r="AG36" s="105"/>
      <c r="AH36" s="105"/>
      <c r="AI36" s="114"/>
      <c r="AJ36" s="91"/>
      <c r="AK36" s="91"/>
      <c r="AL36" s="91"/>
      <c r="AM36" s="91"/>
      <c r="AN36" s="91"/>
      <c r="AO36" s="91"/>
      <c r="AP36" s="91"/>
      <c r="AQ36" s="91"/>
      <c r="AR36" s="91"/>
      <c r="AS36" s="91"/>
      <c r="AT36" s="3"/>
    </row>
    <row r="37" spans="1:46" x14ac:dyDescent="0.2">
      <c r="I37" s="1"/>
      <c r="J37" s="17"/>
      <c r="K37" s="6"/>
      <c r="L37" s="6"/>
      <c r="M37" s="6"/>
      <c r="N37" s="15"/>
      <c r="O37" s="19"/>
      <c r="P37" s="19"/>
      <c r="Q37" s="19"/>
      <c r="R37" s="19"/>
      <c r="S37" s="19"/>
      <c r="T37" s="19"/>
      <c r="U37" s="6"/>
      <c r="V37" s="6"/>
      <c r="W37" s="61"/>
      <c r="X37" s="61">
        <v>34</v>
      </c>
      <c r="Y37" s="95"/>
      <c r="Z37" s="100" t="str">
        <f t="shared" si="0"/>
        <v/>
      </c>
      <c r="AA37" s="113"/>
      <c r="AB37" s="105"/>
      <c r="AC37" s="105"/>
      <c r="AD37" s="105"/>
      <c r="AE37" s="105"/>
      <c r="AF37" s="105"/>
      <c r="AG37" s="105"/>
      <c r="AH37" s="105"/>
      <c r="AI37" s="114"/>
      <c r="AJ37" s="91"/>
      <c r="AK37" s="91"/>
      <c r="AL37" s="91"/>
      <c r="AM37" s="91"/>
      <c r="AN37" s="91"/>
      <c r="AO37" s="91"/>
      <c r="AP37" s="91"/>
      <c r="AQ37" s="91"/>
      <c r="AR37" s="91"/>
      <c r="AS37" s="91"/>
      <c r="AT37" s="3"/>
    </row>
    <row r="38" spans="1:46" x14ac:dyDescent="0.2">
      <c r="I38" s="1"/>
      <c r="J38" s="17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1"/>
      <c r="X38" s="61">
        <v>35</v>
      </c>
      <c r="Y38" s="95"/>
      <c r="Z38" s="100" t="str">
        <f t="shared" si="0"/>
        <v/>
      </c>
      <c r="AA38" s="113"/>
      <c r="AB38" s="105"/>
      <c r="AC38" s="105"/>
      <c r="AD38" s="105"/>
      <c r="AE38" s="105"/>
      <c r="AF38" s="105"/>
      <c r="AG38" s="105"/>
      <c r="AH38" s="105"/>
      <c r="AI38" s="114"/>
      <c r="AJ38" s="91"/>
      <c r="AK38" s="91"/>
      <c r="AL38" s="91"/>
      <c r="AM38" s="91"/>
      <c r="AN38" s="91"/>
      <c r="AO38" s="91"/>
      <c r="AP38" s="91"/>
      <c r="AQ38" s="91"/>
      <c r="AR38" s="91"/>
      <c r="AS38" s="91"/>
      <c r="AT38" s="3"/>
    </row>
    <row r="39" spans="1:46" x14ac:dyDescent="0.2">
      <c r="I39" s="1"/>
      <c r="J39" s="17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1"/>
      <c r="X39" s="61">
        <v>36</v>
      </c>
      <c r="Y39" s="95"/>
      <c r="Z39" s="100" t="str">
        <f t="shared" si="0"/>
        <v/>
      </c>
      <c r="AA39" s="116"/>
      <c r="AB39" s="117"/>
      <c r="AC39" s="117"/>
      <c r="AD39" s="117"/>
      <c r="AE39" s="117"/>
      <c r="AF39" s="117"/>
      <c r="AG39" s="117"/>
      <c r="AH39" s="117"/>
      <c r="AI39" s="118"/>
      <c r="AJ39" s="91"/>
      <c r="AK39" s="91"/>
      <c r="AL39" s="91"/>
      <c r="AM39" s="91"/>
      <c r="AN39" s="91"/>
      <c r="AO39" s="91"/>
      <c r="AP39" s="91"/>
      <c r="AQ39" s="91"/>
      <c r="AR39" s="91"/>
      <c r="AS39" s="91"/>
      <c r="AT39" s="3"/>
    </row>
    <row r="40" spans="1:46" x14ac:dyDescent="0.2">
      <c r="I40" s="1"/>
      <c r="J40" s="17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1"/>
      <c r="X40" s="61">
        <v>37</v>
      </c>
      <c r="Y40" s="95"/>
      <c r="Z40" s="100"/>
      <c r="AA40" s="108"/>
      <c r="AB40" s="61"/>
      <c r="AC40" s="61"/>
      <c r="AD40" s="61"/>
      <c r="AE40" s="61"/>
      <c r="AF40" s="61"/>
      <c r="AG40" s="61"/>
      <c r="AH40" s="61"/>
      <c r="AI40" s="91"/>
      <c r="AJ40" s="91"/>
      <c r="AK40" s="91"/>
      <c r="AL40" s="91"/>
      <c r="AM40" s="91"/>
      <c r="AN40" s="91"/>
      <c r="AO40" s="91"/>
      <c r="AP40" s="91"/>
      <c r="AQ40" s="91"/>
      <c r="AR40" s="91"/>
      <c r="AS40" s="91"/>
      <c r="AT40" s="3"/>
    </row>
    <row r="41" spans="1:46" x14ac:dyDescent="0.2">
      <c r="I41" s="1"/>
      <c r="J41" s="17"/>
      <c r="K41" s="6"/>
      <c r="L41" s="6"/>
      <c r="M41" s="6"/>
      <c r="N41" s="6"/>
      <c r="O41" s="6"/>
      <c r="P41" s="6"/>
      <c r="Q41" s="6"/>
      <c r="R41" s="6"/>
      <c r="S41" s="6"/>
      <c r="T41" s="6"/>
      <c r="U41" s="8">
        <f>DATE(1,1,1)</f>
        <v>367</v>
      </c>
      <c r="V41" s="6"/>
      <c r="W41" s="61"/>
      <c r="X41" s="61">
        <v>38</v>
      </c>
      <c r="Y41" s="95"/>
      <c r="Z41" s="100"/>
      <c r="AA41" s="108"/>
      <c r="AB41" s="61"/>
      <c r="AC41" s="61"/>
      <c r="AD41" s="61"/>
      <c r="AE41" s="61"/>
      <c r="AF41" s="61"/>
      <c r="AG41" s="61"/>
      <c r="AH41" s="61"/>
      <c r="AI41" s="91"/>
      <c r="AJ41" s="91"/>
      <c r="AK41" s="91"/>
      <c r="AL41" s="91"/>
      <c r="AM41" s="91"/>
      <c r="AN41" s="91"/>
      <c r="AO41" s="91"/>
      <c r="AP41" s="91"/>
      <c r="AQ41" s="91"/>
      <c r="AR41" s="91"/>
      <c r="AS41" s="91"/>
      <c r="AT41" s="3"/>
    </row>
    <row r="42" spans="1:46" x14ac:dyDescent="0.2">
      <c r="D42" s="1"/>
      <c r="E42" s="1"/>
      <c r="F42" s="1"/>
      <c r="I42" s="1"/>
      <c r="J42" s="17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1"/>
      <c r="X42" s="61">
        <v>39</v>
      </c>
      <c r="Y42" s="95"/>
      <c r="Z42" s="100"/>
      <c r="AA42" s="108"/>
      <c r="AB42" s="61"/>
      <c r="AC42" s="61"/>
      <c r="AD42" s="61"/>
      <c r="AE42" s="61"/>
      <c r="AF42" s="61"/>
      <c r="AG42" s="61"/>
      <c r="AH42" s="6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3"/>
    </row>
    <row r="43" spans="1:46" x14ac:dyDescent="0.2">
      <c r="B43" s="21" t="s">
        <v>160</v>
      </c>
      <c r="D43" s="1"/>
      <c r="E43" s="1"/>
      <c r="F43" s="1"/>
      <c r="G43" s="1"/>
      <c r="H43" s="1"/>
      <c r="I43" s="1"/>
      <c r="J43" s="17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1"/>
      <c r="X43" s="61">
        <v>40</v>
      </c>
      <c r="Y43" s="95"/>
      <c r="Z43" s="100"/>
      <c r="AA43" s="108"/>
      <c r="AB43" s="61"/>
      <c r="AC43" s="61"/>
      <c r="AD43" s="61"/>
      <c r="AE43" s="61"/>
      <c r="AF43" s="61"/>
      <c r="AG43" s="61"/>
      <c r="AH43" s="6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3"/>
    </row>
    <row r="44" spans="1:46" x14ac:dyDescent="0.2">
      <c r="D44" s="10"/>
      <c r="E44" s="1"/>
      <c r="F44" s="1"/>
      <c r="G44" s="1"/>
      <c r="H44" s="1"/>
      <c r="I44" s="1"/>
      <c r="J44" s="1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1"/>
      <c r="X44" s="61">
        <v>41</v>
      </c>
      <c r="Y44" s="95"/>
      <c r="Z44" s="100"/>
      <c r="AA44" s="108"/>
      <c r="AB44" s="61"/>
      <c r="AC44" s="61"/>
      <c r="AD44" s="61"/>
      <c r="AE44" s="61"/>
      <c r="AF44" s="61"/>
      <c r="AG44" s="61"/>
      <c r="AH44" s="61"/>
      <c r="AI44" s="91"/>
      <c r="AJ44" s="91"/>
      <c r="AK44" s="91"/>
      <c r="AL44" s="91"/>
      <c r="AM44" s="91"/>
      <c r="AN44" s="91"/>
      <c r="AO44" s="91"/>
      <c r="AP44" s="91"/>
      <c r="AQ44" s="91"/>
      <c r="AR44" s="91"/>
      <c r="AS44" s="91"/>
      <c r="AT44" s="3"/>
    </row>
    <row r="45" spans="1:46" x14ac:dyDescent="0.2">
      <c r="D45" s="1"/>
      <c r="E45" s="1"/>
      <c r="F45" s="1"/>
      <c r="G45" s="1"/>
      <c r="H45" s="1"/>
      <c r="I45" s="1"/>
      <c r="J45" s="1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1"/>
      <c r="X45" s="61">
        <v>42</v>
      </c>
      <c r="Y45" s="95"/>
      <c r="Z45" s="100"/>
      <c r="AA45" s="108"/>
      <c r="AB45" s="61"/>
      <c r="AC45" s="61"/>
      <c r="AD45" s="61"/>
      <c r="AE45" s="61"/>
      <c r="AF45" s="61"/>
      <c r="AG45" s="61"/>
      <c r="AH45" s="61"/>
      <c r="AI45" s="91"/>
      <c r="AJ45" s="91"/>
      <c r="AK45" s="91"/>
      <c r="AL45" s="91"/>
      <c r="AM45" s="91"/>
      <c r="AN45" s="91"/>
      <c r="AO45" s="91"/>
      <c r="AP45" s="91"/>
      <c r="AQ45" s="91"/>
      <c r="AR45" s="91"/>
      <c r="AS45" s="91"/>
      <c r="AT45" s="3"/>
    </row>
    <row r="46" spans="1:46" x14ac:dyDescent="0.2">
      <c r="D46" s="1"/>
      <c r="E46" s="1"/>
      <c r="F46" s="1"/>
      <c r="G46" s="1"/>
      <c r="H46" s="1"/>
      <c r="I46" s="1"/>
      <c r="J46" s="1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1"/>
      <c r="X46" s="61">
        <v>43</v>
      </c>
      <c r="Y46" s="95"/>
      <c r="Z46" s="100"/>
      <c r="AA46" s="108"/>
      <c r="AB46" s="61"/>
      <c r="AC46" s="61"/>
      <c r="AD46" s="61"/>
      <c r="AE46" s="61"/>
      <c r="AF46" s="61"/>
      <c r="AG46" s="61"/>
      <c r="AH46" s="6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3"/>
    </row>
    <row r="47" spans="1:46" ht="12.75" customHeight="1" x14ac:dyDescent="0.2">
      <c r="D47" s="1"/>
      <c r="E47" s="1"/>
      <c r="F47" s="1"/>
      <c r="G47" s="1"/>
      <c r="H47" s="1"/>
      <c r="I47" s="1"/>
      <c r="J47" s="1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1"/>
      <c r="X47" s="61">
        <v>44</v>
      </c>
      <c r="Y47" s="95"/>
      <c r="Z47" s="100" t="str">
        <f t="shared" si="0"/>
        <v/>
      </c>
      <c r="AA47" s="108"/>
      <c r="AB47" s="61"/>
      <c r="AC47" s="61"/>
      <c r="AD47" s="61"/>
      <c r="AE47" s="61"/>
      <c r="AF47" s="61"/>
      <c r="AG47" s="61"/>
      <c r="AH47" s="6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3"/>
    </row>
    <row r="48" spans="1:46" ht="12.75" customHeight="1" x14ac:dyDescent="0.2">
      <c r="D48" s="1"/>
      <c r="E48" s="1"/>
      <c r="F48" s="1"/>
      <c r="G48" s="1"/>
      <c r="H48" s="1"/>
      <c r="I48" s="1"/>
      <c r="J48" s="1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1"/>
      <c r="X48" s="61">
        <v>45</v>
      </c>
      <c r="Y48" s="92"/>
      <c r="Z48" s="100" t="str">
        <f t="shared" si="0"/>
        <v/>
      </c>
      <c r="AA48" s="108"/>
      <c r="AB48" s="61"/>
      <c r="AC48" s="61"/>
      <c r="AD48" s="61"/>
      <c r="AE48" s="61"/>
      <c r="AF48" s="61"/>
      <c r="AG48" s="61"/>
      <c r="AH48" s="6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3"/>
    </row>
    <row r="49" spans="4:46" ht="13.5" customHeight="1" x14ac:dyDescent="0.2">
      <c r="D49" s="1"/>
      <c r="E49" s="1"/>
      <c r="F49" s="1"/>
      <c r="G49" s="1"/>
      <c r="H49" s="1"/>
      <c r="I49" s="1"/>
      <c r="J49" s="1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1"/>
      <c r="X49" s="61">
        <v>46</v>
      </c>
      <c r="Y49" s="92"/>
      <c r="Z49" s="100" t="str">
        <f t="shared" si="0"/>
        <v/>
      </c>
      <c r="AA49" s="108"/>
      <c r="AB49" s="61"/>
      <c r="AC49" s="61"/>
      <c r="AD49" s="61"/>
      <c r="AE49" s="61"/>
      <c r="AF49" s="61"/>
      <c r="AG49" s="61"/>
      <c r="AH49" s="61"/>
      <c r="AI49" s="91"/>
      <c r="AJ49" s="91"/>
      <c r="AK49" s="91"/>
      <c r="AL49" s="91"/>
      <c r="AM49" s="91"/>
      <c r="AN49" s="91"/>
      <c r="AO49" s="91"/>
      <c r="AP49" s="91"/>
      <c r="AQ49" s="91"/>
      <c r="AR49" s="91"/>
      <c r="AS49" s="91"/>
      <c r="AT49" s="3"/>
    </row>
    <row r="50" spans="4:46" ht="12.75" customHeight="1" x14ac:dyDescent="0.2">
      <c r="D50" s="1"/>
      <c r="E50" s="1"/>
      <c r="F50" s="1"/>
      <c r="G50" s="1"/>
      <c r="H50" s="1"/>
      <c r="I50" s="1"/>
      <c r="J50" s="1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1"/>
      <c r="X50" s="61">
        <v>47</v>
      </c>
      <c r="Y50" s="92"/>
      <c r="Z50" s="100" t="str">
        <f t="shared" si="0"/>
        <v/>
      </c>
      <c r="AA50" s="62"/>
      <c r="AB50" s="61"/>
      <c r="AC50" s="61"/>
      <c r="AD50" s="61"/>
      <c r="AE50" s="61"/>
      <c r="AF50" s="61"/>
      <c r="AG50" s="61"/>
      <c r="AH50" s="6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3"/>
    </row>
    <row r="51" spans="4:46" ht="13.5" customHeight="1" x14ac:dyDescent="0.2">
      <c r="D51" s="1"/>
      <c r="E51" s="1"/>
      <c r="F51" s="1"/>
      <c r="G51" s="1"/>
      <c r="H51" s="1"/>
      <c r="I51" s="1"/>
      <c r="J51" s="1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1"/>
      <c r="X51" s="61">
        <v>48</v>
      </c>
      <c r="Y51" s="92"/>
      <c r="Z51" s="100" t="str">
        <f t="shared" si="0"/>
        <v/>
      </c>
      <c r="AA51" s="62"/>
      <c r="AB51" s="61"/>
      <c r="AC51" s="61"/>
      <c r="AD51" s="61"/>
      <c r="AE51" s="61"/>
      <c r="AF51" s="61"/>
      <c r="AG51" s="61"/>
      <c r="AH51" s="6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3"/>
    </row>
    <row r="52" spans="4:46" x14ac:dyDescent="0.2">
      <c r="D52" s="1"/>
      <c r="E52" s="1"/>
      <c r="F52" s="1"/>
      <c r="G52" s="1"/>
      <c r="H52" s="1"/>
      <c r="I52" s="1"/>
      <c r="J52" s="1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1"/>
      <c r="X52" s="61">
        <v>49</v>
      </c>
      <c r="Y52" s="92"/>
      <c r="Z52" s="100" t="str">
        <f t="shared" si="0"/>
        <v/>
      </c>
      <c r="AA52" s="62"/>
      <c r="AB52" s="61"/>
      <c r="AC52" s="61"/>
      <c r="AD52" s="61"/>
      <c r="AE52" s="61"/>
      <c r="AF52" s="61"/>
      <c r="AG52" s="61"/>
      <c r="AH52" s="6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3"/>
    </row>
    <row r="53" spans="4:46" x14ac:dyDescent="0.2">
      <c r="D53" s="1"/>
      <c r="E53" s="1"/>
      <c r="F53" s="1"/>
      <c r="G53" s="1"/>
      <c r="H53" s="1"/>
      <c r="I53" s="1"/>
      <c r="J53" s="17"/>
      <c r="K53" s="6"/>
      <c r="L53" s="5"/>
      <c r="M53" s="6"/>
      <c r="N53" s="6"/>
      <c r="O53" s="6"/>
      <c r="P53" s="6"/>
      <c r="Q53" s="6"/>
      <c r="R53" s="6"/>
      <c r="S53" s="6"/>
      <c r="T53" s="6"/>
      <c r="U53" s="6"/>
      <c r="V53" s="6"/>
      <c r="W53" s="61"/>
      <c r="X53" s="61">
        <v>50</v>
      </c>
      <c r="Y53" s="92"/>
      <c r="Z53" s="100" t="str">
        <f t="shared" si="0"/>
        <v/>
      </c>
      <c r="AA53" s="62"/>
      <c r="AB53" s="61"/>
      <c r="AC53" s="61"/>
      <c r="AD53" s="61"/>
      <c r="AE53" s="61"/>
      <c r="AF53" s="61"/>
      <c r="AG53" s="61"/>
      <c r="AH53" s="6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3"/>
    </row>
    <row r="54" spans="4:46" x14ac:dyDescent="0.2">
      <c r="D54" s="1"/>
      <c r="E54" s="1"/>
      <c r="F54" s="1"/>
      <c r="G54" s="1"/>
      <c r="H54" s="1"/>
      <c r="I54" s="1"/>
      <c r="J54" s="17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1"/>
      <c r="X54" s="61">
        <v>51</v>
      </c>
      <c r="Y54" s="92"/>
      <c r="Z54" s="100" t="str">
        <f t="shared" si="0"/>
        <v/>
      </c>
      <c r="AA54" s="62"/>
      <c r="AB54" s="61"/>
      <c r="AC54" s="61"/>
      <c r="AD54" s="61"/>
      <c r="AE54" s="61"/>
      <c r="AF54" s="61"/>
      <c r="AG54" s="61"/>
      <c r="AH54" s="6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3"/>
    </row>
    <row r="55" spans="4:46" x14ac:dyDescent="0.2">
      <c r="D55" s="1"/>
      <c r="E55" s="1"/>
      <c r="F55" s="1"/>
      <c r="G55" s="1"/>
      <c r="H55" s="1"/>
      <c r="I55" s="1"/>
      <c r="J55" s="17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1"/>
      <c r="X55" s="61">
        <v>52</v>
      </c>
      <c r="Y55" s="92"/>
      <c r="Z55" s="100" t="str">
        <f t="shared" si="0"/>
        <v/>
      </c>
      <c r="AA55" s="62"/>
      <c r="AB55" s="61"/>
      <c r="AC55" s="61"/>
      <c r="AD55" s="61"/>
      <c r="AE55" s="61"/>
      <c r="AF55" s="61"/>
      <c r="AG55" s="61"/>
      <c r="AH55" s="6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3"/>
    </row>
    <row r="56" spans="4:46" x14ac:dyDescent="0.2">
      <c r="D56" s="1"/>
      <c r="E56" s="1"/>
      <c r="F56" s="1"/>
      <c r="G56" s="1"/>
      <c r="H56" s="1"/>
      <c r="I56" s="1"/>
      <c r="J56" s="17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1"/>
      <c r="X56" s="61"/>
      <c r="Y56" s="91"/>
      <c r="Z56" s="91"/>
      <c r="AA56" s="61"/>
      <c r="AB56" s="61"/>
      <c r="AC56" s="61"/>
      <c r="AD56" s="61"/>
      <c r="AE56" s="61"/>
      <c r="AF56" s="61"/>
      <c r="AG56" s="61"/>
      <c r="AH56" s="6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3"/>
    </row>
    <row r="57" spans="4:46" x14ac:dyDescent="0.2">
      <c r="D57" s="1"/>
      <c r="E57" s="1"/>
      <c r="F57" s="1"/>
      <c r="G57" s="1"/>
      <c r="H57" s="1"/>
      <c r="I57" s="1"/>
      <c r="J57" s="17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1"/>
      <c r="X57" s="61"/>
      <c r="Y57" s="91"/>
      <c r="Z57" s="61"/>
      <c r="AA57" s="61"/>
      <c r="AB57" s="61"/>
      <c r="AC57" s="61"/>
      <c r="AD57" s="61"/>
      <c r="AE57" s="61"/>
      <c r="AF57" s="61"/>
      <c r="AG57" s="61"/>
      <c r="AH57" s="61"/>
      <c r="AI57" s="91"/>
      <c r="AJ57" s="91"/>
      <c r="AK57" s="91"/>
      <c r="AL57" s="91"/>
      <c r="AM57" s="91"/>
      <c r="AN57" s="91"/>
      <c r="AO57" s="91"/>
      <c r="AP57" s="91"/>
      <c r="AQ57" s="91"/>
      <c r="AR57" s="91"/>
      <c r="AS57" s="91"/>
      <c r="AT57" s="3"/>
    </row>
    <row r="58" spans="4:46" x14ac:dyDescent="0.2">
      <c r="G58" s="1"/>
      <c r="H58" s="1"/>
      <c r="I58" s="1"/>
      <c r="J58" s="17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1"/>
      <c r="X58" s="61"/>
      <c r="Y58" s="91"/>
      <c r="Z58" s="61"/>
      <c r="AA58" s="61"/>
      <c r="AB58" s="61"/>
      <c r="AC58" s="61"/>
      <c r="AD58" s="61"/>
      <c r="AE58" s="61"/>
      <c r="AF58" s="61"/>
      <c r="AG58" s="61"/>
      <c r="AH58" s="6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3"/>
    </row>
    <row r="59" spans="4:46" x14ac:dyDescent="0.2">
      <c r="I59" s="1"/>
      <c r="J59" s="17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1"/>
      <c r="X59" s="61"/>
      <c r="Y59" s="91"/>
      <c r="Z59" s="61"/>
      <c r="AA59" s="61"/>
      <c r="AB59" s="61"/>
      <c r="AC59" s="61"/>
      <c r="AD59" s="61"/>
      <c r="AE59" s="61"/>
      <c r="AF59" s="61"/>
      <c r="AG59" s="61"/>
      <c r="AH59" s="6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3"/>
    </row>
    <row r="60" spans="4:46" x14ac:dyDescent="0.2">
      <c r="J60" s="17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</row>
    <row r="61" spans="4:46" x14ac:dyDescent="0.2">
      <c r="J61" s="17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</row>
    <row r="62" spans="4:46" x14ac:dyDescent="0.2">
      <c r="J62" s="17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</row>
    <row r="63" spans="4:46" x14ac:dyDescent="0.2">
      <c r="J63" s="17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</row>
    <row r="64" spans="4:46" x14ac:dyDescent="0.2">
      <c r="J64" s="17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</row>
    <row r="65" spans="9:46" x14ac:dyDescent="0.2">
      <c r="J65" s="17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</row>
    <row r="66" spans="9:46" x14ac:dyDescent="0.2">
      <c r="J66" s="17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</row>
    <row r="67" spans="9:46" x14ac:dyDescent="0.2">
      <c r="J67" s="17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4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</row>
    <row r="68" spans="9:46" x14ac:dyDescent="0.2">
      <c r="J68" s="17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</row>
    <row r="69" spans="9:46" x14ac:dyDescent="0.2">
      <c r="J69" s="17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9:46" x14ac:dyDescent="0.2">
      <c r="J70" s="17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</row>
    <row r="71" spans="9:46" x14ac:dyDescent="0.2">
      <c r="J71" s="17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</row>
    <row r="72" spans="9:46" x14ac:dyDescent="0.2">
      <c r="J72" s="17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</row>
    <row r="73" spans="9:46" x14ac:dyDescent="0.2">
      <c r="J73" s="17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</row>
    <row r="74" spans="9:46" x14ac:dyDescent="0.2">
      <c r="J74" s="17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</row>
    <row r="75" spans="9:46" x14ac:dyDescent="0.2">
      <c r="J75" s="17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</row>
    <row r="76" spans="9:46" x14ac:dyDescent="0.2">
      <c r="I76" s="1"/>
      <c r="J76" s="17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</row>
    <row r="77" spans="9:46" x14ac:dyDescent="0.2">
      <c r="I77" s="1"/>
      <c r="J77" s="17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</row>
    <row r="78" spans="9:46" x14ac:dyDescent="0.2">
      <c r="I78" s="1"/>
      <c r="J78" s="17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</row>
    <row r="79" spans="9:46" x14ac:dyDescent="0.2">
      <c r="I79" s="1"/>
      <c r="J79" s="17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</row>
    <row r="80" spans="9:46" x14ac:dyDescent="0.2">
      <c r="I80" s="1"/>
      <c r="J80" s="17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</row>
    <row r="81" spans="5:46" x14ac:dyDescent="0.2">
      <c r="I81" s="1"/>
      <c r="J81" s="17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</row>
    <row r="82" spans="5:46" x14ac:dyDescent="0.2">
      <c r="I82" s="1"/>
      <c r="J82" s="17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</row>
    <row r="83" spans="5:46" x14ac:dyDescent="0.2">
      <c r="I83" s="1"/>
      <c r="J83" s="17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</row>
    <row r="84" spans="5:46" x14ac:dyDescent="0.2">
      <c r="I84" s="1"/>
      <c r="J84" s="17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</row>
    <row r="85" spans="5:46" x14ac:dyDescent="0.2">
      <c r="I85" s="1"/>
      <c r="J85" s="17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</row>
    <row r="86" spans="5:46" x14ac:dyDescent="0.2">
      <c r="I86" s="1"/>
      <c r="J86" s="17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</row>
    <row r="87" spans="5:46" x14ac:dyDescent="0.2">
      <c r="I87" s="1"/>
      <c r="J87" s="17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</row>
    <row r="88" spans="5:46" x14ac:dyDescent="0.2">
      <c r="I88" s="1"/>
      <c r="J88" s="17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</row>
    <row r="89" spans="5:46" x14ac:dyDescent="0.2">
      <c r="I89" s="1"/>
      <c r="J89" s="17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</row>
    <row r="90" spans="5:46" x14ac:dyDescent="0.2">
      <c r="I90" s="1"/>
      <c r="J90" s="17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</row>
    <row r="91" spans="5:46" x14ac:dyDescent="0.2">
      <c r="I91" s="1"/>
      <c r="J91" s="17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</row>
    <row r="92" spans="5:46" x14ac:dyDescent="0.2">
      <c r="H92" s="21"/>
      <c r="J92" s="17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</row>
    <row r="93" spans="5:46" x14ac:dyDescent="0.2">
      <c r="G93" s="22"/>
      <c r="H93" s="22"/>
      <c r="I93" s="22"/>
      <c r="J93" s="23"/>
      <c r="K93" s="20"/>
      <c r="L93" s="20"/>
      <c r="M93" s="20"/>
      <c r="N93" s="20"/>
      <c r="O93" s="20"/>
      <c r="P93" s="6"/>
      <c r="Q93" s="6"/>
      <c r="R93" s="6"/>
      <c r="S93" s="6"/>
      <c r="T93" s="6"/>
      <c r="U93" s="6"/>
      <c r="V93" s="6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</row>
    <row r="94" spans="5:46" x14ac:dyDescent="0.2">
      <c r="F94" s="22"/>
      <c r="G94" s="22"/>
      <c r="H94" s="22"/>
      <c r="I94" s="22"/>
      <c r="J94" s="23"/>
      <c r="K94" s="20"/>
      <c r="L94" s="20"/>
      <c r="M94" s="20"/>
      <c r="N94" s="20"/>
      <c r="O94" s="20"/>
      <c r="P94" s="20"/>
      <c r="Q94" s="6"/>
      <c r="R94" s="6"/>
      <c r="S94" s="6"/>
      <c r="T94" s="6"/>
      <c r="U94" s="6"/>
      <c r="V94" s="6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</row>
    <row r="95" spans="5:46" x14ac:dyDescent="0.2">
      <c r="F95" s="22"/>
      <c r="G95" s="22"/>
      <c r="H95" s="22"/>
      <c r="I95" s="22"/>
      <c r="J95" s="23"/>
      <c r="K95" s="20"/>
      <c r="L95" s="20"/>
      <c r="M95" s="20"/>
      <c r="N95" s="20"/>
      <c r="O95" s="20"/>
      <c r="P95" s="20"/>
      <c r="Q95" s="6"/>
      <c r="R95" s="6"/>
      <c r="S95" s="6"/>
      <c r="T95" s="6"/>
      <c r="U95" s="6"/>
      <c r="V95" s="6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</row>
    <row r="96" spans="5:46" ht="16.5" customHeight="1" x14ac:dyDescent="0.2">
      <c r="E96" s="21"/>
      <c r="F96" s="24"/>
      <c r="G96"/>
      <c r="H96"/>
      <c r="I96"/>
      <c r="J96"/>
      <c r="K96"/>
      <c r="L96"/>
      <c r="M96"/>
      <c r="N96"/>
      <c r="O96" s="20"/>
      <c r="P96" s="20"/>
      <c r="Q96" s="6"/>
      <c r="R96" s="6"/>
      <c r="S96" s="6"/>
      <c r="T96" s="6"/>
      <c r="U96" s="6"/>
      <c r="V96" s="6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</row>
    <row r="97" spans="3:46" ht="16.5" customHeight="1" x14ac:dyDescent="0.2">
      <c r="E97" s="21"/>
      <c r="F97" s="24"/>
      <c r="G97"/>
      <c r="H97"/>
      <c r="I97"/>
      <c r="J97"/>
      <c r="K97"/>
      <c r="L97"/>
      <c r="M97"/>
      <c r="N97"/>
      <c r="O97" s="20"/>
      <c r="P97" s="20"/>
      <c r="Q97" s="6"/>
      <c r="R97" s="6"/>
      <c r="S97" s="6"/>
      <c r="T97" s="6"/>
      <c r="U97" s="6"/>
      <c r="V97" s="6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</row>
    <row r="98" spans="3:46" x14ac:dyDescent="0.2">
      <c r="E98" s="21"/>
      <c r="F98" s="24"/>
      <c r="G98"/>
      <c r="H98"/>
      <c r="I98"/>
      <c r="J98"/>
      <c r="K98"/>
      <c r="L98"/>
      <c r="M98"/>
      <c r="N98"/>
      <c r="O98" s="20"/>
      <c r="P98" s="20"/>
      <c r="Q98" s="6"/>
      <c r="R98" s="6"/>
      <c r="S98" s="6"/>
      <c r="T98" s="6"/>
      <c r="U98" s="6"/>
      <c r="V98" s="6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</row>
    <row r="99" spans="3:46" x14ac:dyDescent="0.2">
      <c r="E99" s="21"/>
      <c r="F99" s="24"/>
      <c r="G99"/>
      <c r="H99"/>
      <c r="I99"/>
      <c r="J99"/>
      <c r="K99"/>
      <c r="L99"/>
      <c r="M99"/>
      <c r="N99"/>
      <c r="O99" s="20"/>
      <c r="P99" s="20"/>
      <c r="Q99" s="6"/>
      <c r="R99" s="6"/>
      <c r="S99" s="6"/>
      <c r="T99" s="6"/>
      <c r="U99" s="6"/>
      <c r="V99" s="6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</row>
    <row r="100" spans="3:46" ht="16.5" customHeight="1" x14ac:dyDescent="0.2">
      <c r="E100" s="21"/>
      <c r="F100" s="24"/>
      <c r="G100"/>
      <c r="H100"/>
      <c r="I100"/>
      <c r="J100"/>
      <c r="K100"/>
      <c r="L100"/>
      <c r="M100"/>
      <c r="N100"/>
      <c r="O100" s="20"/>
      <c r="P100" s="20"/>
      <c r="Q100" s="6"/>
      <c r="R100" s="6"/>
      <c r="S100" s="6"/>
      <c r="T100" s="6"/>
      <c r="U100" s="6"/>
      <c r="V100" s="6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</row>
    <row r="101" spans="3:46" ht="16.5" customHeight="1" x14ac:dyDescent="0.2">
      <c r="E101" s="21"/>
      <c r="F101" s="24"/>
      <c r="G101"/>
      <c r="H101"/>
      <c r="I101"/>
      <c r="J101"/>
      <c r="K101"/>
      <c r="L101"/>
      <c r="M101"/>
      <c r="N101"/>
      <c r="O101" s="20"/>
      <c r="P101" s="20"/>
      <c r="Q101" s="6"/>
      <c r="R101" s="6"/>
      <c r="S101" s="6"/>
      <c r="T101" s="6"/>
      <c r="U101" s="6"/>
      <c r="V101" s="6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</row>
    <row r="102" spans="3:46" x14ac:dyDescent="0.2">
      <c r="E102" s="21"/>
      <c r="F102" s="24"/>
      <c r="G102"/>
      <c r="H102"/>
      <c r="I102"/>
      <c r="J102"/>
      <c r="K102"/>
      <c r="L102"/>
      <c r="M102"/>
      <c r="N102"/>
      <c r="O102" s="20"/>
      <c r="P102" s="20"/>
      <c r="Q102" s="6"/>
      <c r="R102" s="6"/>
      <c r="S102" s="6"/>
      <c r="T102" s="6"/>
      <c r="U102" s="6"/>
      <c r="V102" s="6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</row>
    <row r="103" spans="3:46" x14ac:dyDescent="0.2">
      <c r="E103" s="21"/>
      <c r="F103" s="24"/>
      <c r="G103"/>
      <c r="H103"/>
      <c r="I103"/>
      <c r="J103"/>
      <c r="K103"/>
      <c r="L103"/>
      <c r="M103"/>
      <c r="N103"/>
      <c r="O103" s="20"/>
      <c r="P103" s="20"/>
      <c r="Q103" s="6"/>
      <c r="R103" s="6"/>
      <c r="S103" s="6"/>
      <c r="T103" s="6"/>
      <c r="U103" s="6"/>
      <c r="V103" s="6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</row>
    <row r="104" spans="3:46" ht="16.5" customHeight="1" x14ac:dyDescent="0.2">
      <c r="E104" s="21"/>
      <c r="F104" s="24"/>
      <c r="G104"/>
      <c r="H104"/>
      <c r="I104"/>
      <c r="J104"/>
      <c r="K104"/>
      <c r="L104"/>
      <c r="M104"/>
      <c r="N104"/>
      <c r="O104" s="20"/>
      <c r="P104" s="20"/>
      <c r="Q104" s="6"/>
      <c r="R104" s="6"/>
      <c r="S104" s="6"/>
      <c r="T104" s="6"/>
      <c r="U104" s="6"/>
      <c r="V104" s="6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</row>
    <row r="105" spans="3:46" ht="16.5" customHeight="1" x14ac:dyDescent="0.2">
      <c r="E105" s="21"/>
      <c r="F105" s="24"/>
      <c r="G105"/>
      <c r="H105"/>
      <c r="I105"/>
      <c r="J105"/>
      <c r="K105"/>
      <c r="L105"/>
      <c r="M105"/>
      <c r="N105"/>
      <c r="O105" s="20"/>
      <c r="P105" s="20"/>
      <c r="Q105" s="6"/>
      <c r="R105" s="6"/>
      <c r="S105" s="6"/>
      <c r="T105" s="6"/>
      <c r="U105" s="6"/>
      <c r="V105" s="6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</row>
    <row r="106" spans="3:46" x14ac:dyDescent="0.2">
      <c r="E106" s="21"/>
      <c r="F106" s="24"/>
      <c r="G106"/>
      <c r="H106"/>
      <c r="I106"/>
      <c r="J106"/>
      <c r="K106"/>
      <c r="L106"/>
      <c r="M106"/>
      <c r="N106"/>
      <c r="O106" s="20"/>
      <c r="P106" s="20"/>
      <c r="Q106" s="6"/>
      <c r="R106" s="6"/>
      <c r="S106" s="6"/>
      <c r="T106" s="6"/>
      <c r="U106" s="6"/>
      <c r="V106" s="6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</row>
    <row r="107" spans="3:46" x14ac:dyDescent="0.2">
      <c r="E107" s="21"/>
      <c r="F107" s="24"/>
      <c r="G107"/>
      <c r="H107"/>
      <c r="I107"/>
      <c r="J107"/>
      <c r="K107"/>
      <c r="L107"/>
      <c r="M107"/>
      <c r="N107"/>
      <c r="O107" s="20"/>
      <c r="P107" s="20"/>
      <c r="Q107" s="6"/>
      <c r="R107" s="6"/>
      <c r="S107" s="6"/>
      <c r="T107" s="6"/>
      <c r="U107" s="6"/>
      <c r="V107" s="6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</row>
    <row r="108" spans="3:46" ht="16.5" customHeight="1" x14ac:dyDescent="0.2">
      <c r="C108" s="79"/>
      <c r="D108" s="79"/>
      <c r="E108" s="79"/>
      <c r="F108" s="24"/>
      <c r="G108"/>
      <c r="H108"/>
      <c r="I108"/>
      <c r="J108"/>
      <c r="K108"/>
      <c r="L108"/>
      <c r="M108"/>
      <c r="N108"/>
      <c r="O108" s="20"/>
      <c r="P108" s="20"/>
      <c r="Q108" s="6"/>
      <c r="R108" s="6"/>
      <c r="S108" s="6"/>
      <c r="T108" s="6"/>
      <c r="U108" s="6"/>
      <c r="V108" s="6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</row>
    <row r="109" spans="3:46" ht="16.5" customHeight="1" x14ac:dyDescent="0.2">
      <c r="E109" s="21"/>
      <c r="F109" s="24"/>
      <c r="G109"/>
      <c r="H109"/>
      <c r="I109"/>
      <c r="J109"/>
      <c r="K109"/>
      <c r="L109"/>
      <c r="M109"/>
      <c r="N109"/>
      <c r="O109" s="20"/>
      <c r="P109" s="20"/>
      <c r="Q109" s="6"/>
      <c r="R109" s="6"/>
      <c r="S109" s="6"/>
      <c r="T109" s="6"/>
      <c r="U109" s="6"/>
      <c r="V109" s="6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</row>
    <row r="110" spans="3:46" x14ac:dyDescent="0.2">
      <c r="E110" s="21"/>
      <c r="F110" s="24"/>
      <c r="G110"/>
      <c r="H110"/>
      <c r="I110"/>
      <c r="J110"/>
      <c r="K110"/>
      <c r="L110"/>
      <c r="M110"/>
      <c r="N110"/>
      <c r="O110" s="20"/>
      <c r="P110" s="20"/>
      <c r="Q110" s="6"/>
      <c r="R110" s="6"/>
      <c r="S110" s="6"/>
      <c r="T110" s="6"/>
      <c r="U110" s="6"/>
      <c r="V110" s="6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</row>
    <row r="111" spans="3:46" x14ac:dyDescent="0.2">
      <c r="E111" s="21"/>
      <c r="F111" s="24"/>
      <c r="G111"/>
      <c r="H111"/>
      <c r="I111"/>
      <c r="J111"/>
      <c r="K111"/>
      <c r="L111"/>
      <c r="M111"/>
      <c r="N111"/>
      <c r="O111" s="20"/>
      <c r="P111" s="20"/>
      <c r="Q111" s="6"/>
      <c r="R111" s="6"/>
      <c r="S111" s="6"/>
      <c r="T111" s="6"/>
      <c r="U111" s="6"/>
      <c r="V111" s="6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</row>
    <row r="112" spans="3:46" x14ac:dyDescent="0.2">
      <c r="E112" s="21"/>
      <c r="F112" s="24"/>
      <c r="G112"/>
      <c r="H112"/>
      <c r="I112"/>
      <c r="J112"/>
      <c r="K112"/>
      <c r="L112"/>
      <c r="M112"/>
      <c r="N112"/>
      <c r="O112" s="20"/>
      <c r="P112" s="20"/>
      <c r="Q112" s="6"/>
      <c r="R112" s="6"/>
      <c r="S112" s="6"/>
      <c r="T112" s="6"/>
      <c r="U112" s="6"/>
      <c r="V112" s="6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</row>
    <row r="113" spans="5:46" x14ac:dyDescent="0.2">
      <c r="E113" s="21"/>
      <c r="F113" s="24"/>
      <c r="G113"/>
      <c r="H113"/>
      <c r="I113"/>
      <c r="J113"/>
      <c r="K113"/>
      <c r="L113"/>
      <c r="M113"/>
      <c r="N113"/>
      <c r="O113" s="20"/>
      <c r="P113" s="20"/>
      <c r="Q113" s="6"/>
      <c r="R113" s="6"/>
      <c r="S113" s="6"/>
      <c r="T113" s="6"/>
      <c r="U113" s="6"/>
      <c r="V113" s="6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</row>
    <row r="114" spans="5:46" x14ac:dyDescent="0.2">
      <c r="E114" s="21"/>
      <c r="F114" s="24"/>
      <c r="G114"/>
      <c r="H114"/>
      <c r="I114"/>
      <c r="J114"/>
      <c r="K114"/>
      <c r="L114"/>
      <c r="M114"/>
      <c r="N114"/>
      <c r="O114" s="20"/>
      <c r="P114" s="20"/>
      <c r="Q114" s="6"/>
      <c r="R114" s="6"/>
      <c r="S114" s="6"/>
      <c r="T114" s="6"/>
      <c r="U114" s="6"/>
      <c r="V114" s="6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</row>
    <row r="115" spans="5:46" x14ac:dyDescent="0.2">
      <c r="E115" s="21"/>
      <c r="F115" s="24"/>
      <c r="G115"/>
      <c r="H115"/>
      <c r="I115"/>
      <c r="J115"/>
      <c r="K115"/>
      <c r="L115"/>
      <c r="M115"/>
      <c r="N115"/>
      <c r="O115" s="20"/>
      <c r="P115" s="20"/>
      <c r="Q115" s="6"/>
      <c r="R115" s="6"/>
      <c r="S115" s="6"/>
      <c r="T115" s="6"/>
      <c r="U115" s="6"/>
      <c r="V115" s="6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</row>
    <row r="116" spans="5:46" x14ac:dyDescent="0.2">
      <c r="E116" s="21"/>
      <c r="F116" s="24"/>
      <c r="G116"/>
      <c r="H116"/>
      <c r="I116"/>
      <c r="J116"/>
      <c r="K116"/>
      <c r="L116"/>
      <c r="M116"/>
      <c r="N116"/>
      <c r="O116" s="20"/>
      <c r="P116" s="20"/>
      <c r="Q116" s="6"/>
      <c r="R116" s="6"/>
      <c r="S116" s="6"/>
      <c r="T116" s="6"/>
      <c r="U116" s="6"/>
      <c r="V116" s="6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</row>
    <row r="117" spans="5:46" x14ac:dyDescent="0.2">
      <c r="E117" s="21"/>
      <c r="F117" s="24"/>
      <c r="G117"/>
      <c r="H117"/>
      <c r="I117"/>
      <c r="J117"/>
      <c r="K117"/>
      <c r="L117"/>
      <c r="M117"/>
      <c r="N117"/>
      <c r="O117" s="20"/>
      <c r="P117" s="20"/>
      <c r="Q117" s="6"/>
      <c r="R117" s="6"/>
      <c r="S117" s="6"/>
      <c r="T117" s="6"/>
      <c r="U117" s="6"/>
      <c r="V117" s="6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</row>
    <row r="118" spans="5:46" x14ac:dyDescent="0.2">
      <c r="E118" s="21"/>
      <c r="F118" s="24"/>
      <c r="G118"/>
      <c r="H118"/>
      <c r="I118"/>
      <c r="J118"/>
      <c r="K118"/>
      <c r="L118"/>
      <c r="M118"/>
      <c r="N118"/>
      <c r="O118" s="20"/>
      <c r="P118" s="20"/>
      <c r="Q118" s="6"/>
      <c r="R118" s="6"/>
      <c r="S118" s="6"/>
      <c r="T118" s="6"/>
      <c r="U118" s="6"/>
      <c r="V118" s="6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</row>
    <row r="119" spans="5:46" x14ac:dyDescent="0.2">
      <c r="E119" s="21"/>
      <c r="F119" s="24"/>
      <c r="G119"/>
      <c r="H119"/>
      <c r="I119"/>
      <c r="J119"/>
      <c r="K119"/>
      <c r="L119"/>
      <c r="M119"/>
      <c r="N119"/>
      <c r="O119" s="20"/>
      <c r="P119" s="20"/>
      <c r="Q119" s="6"/>
      <c r="R119" s="6"/>
      <c r="S119" s="6"/>
      <c r="T119" s="6"/>
      <c r="U119" s="6"/>
      <c r="V119" s="6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</row>
    <row r="120" spans="5:46" x14ac:dyDescent="0.2">
      <c r="E120" s="21"/>
      <c r="F120" s="24"/>
      <c r="G120"/>
      <c r="H120"/>
      <c r="I120"/>
      <c r="J120"/>
      <c r="K120"/>
      <c r="L120"/>
      <c r="M120"/>
      <c r="N120"/>
      <c r="O120" s="20"/>
      <c r="P120" s="20"/>
      <c r="Q120" s="6"/>
      <c r="R120" s="6"/>
      <c r="S120" s="6"/>
      <c r="T120" s="6"/>
      <c r="U120" s="6"/>
      <c r="V120" s="6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</row>
    <row r="121" spans="5:46" x14ac:dyDescent="0.2">
      <c r="E121" s="21"/>
      <c r="F121" s="24"/>
      <c r="G121"/>
      <c r="H121"/>
      <c r="I121"/>
      <c r="J121"/>
      <c r="K121"/>
      <c r="L121"/>
      <c r="M121"/>
      <c r="N121"/>
      <c r="O121" s="20"/>
      <c r="P121" s="20"/>
      <c r="Q121" s="6"/>
      <c r="R121" s="6"/>
      <c r="S121" s="6"/>
      <c r="T121" s="6"/>
      <c r="U121" s="6"/>
      <c r="V121" s="6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</row>
    <row r="122" spans="5:46" x14ac:dyDescent="0.2">
      <c r="E122" s="21"/>
      <c r="F122" s="24"/>
      <c r="G122"/>
      <c r="H122"/>
      <c r="I122"/>
      <c r="J122"/>
      <c r="K122"/>
      <c r="L122"/>
      <c r="M122"/>
      <c r="N122"/>
      <c r="O122" s="20"/>
      <c r="P122" s="20"/>
      <c r="Q122" s="6"/>
      <c r="R122" s="6"/>
      <c r="S122" s="6"/>
      <c r="T122" s="6"/>
      <c r="U122" s="6"/>
      <c r="V122" s="6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</row>
    <row r="123" spans="5:46" x14ac:dyDescent="0.2">
      <c r="E123" s="21"/>
      <c r="F123" s="24"/>
      <c r="G123"/>
      <c r="H123"/>
      <c r="I123"/>
      <c r="J123"/>
      <c r="K123"/>
      <c r="L123"/>
      <c r="M123"/>
      <c r="N123"/>
      <c r="O123" s="20"/>
      <c r="P123" s="20"/>
      <c r="Q123" s="6"/>
      <c r="R123" s="6"/>
      <c r="S123" s="6"/>
      <c r="T123" s="6"/>
      <c r="U123" s="6"/>
      <c r="V123" s="6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</row>
    <row r="124" spans="5:46" x14ac:dyDescent="0.2">
      <c r="E124" s="21"/>
      <c r="F124" s="24"/>
      <c r="G124"/>
      <c r="H124"/>
      <c r="I124"/>
      <c r="J124"/>
      <c r="K124"/>
      <c r="L124"/>
      <c r="M124"/>
      <c r="N124"/>
      <c r="O124" s="20"/>
      <c r="P124" s="20"/>
      <c r="Q124" s="6"/>
      <c r="R124" s="6"/>
      <c r="S124" s="6"/>
      <c r="T124" s="6"/>
      <c r="U124" s="6"/>
      <c r="V124" s="6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</row>
    <row r="125" spans="5:46" x14ac:dyDescent="0.2">
      <c r="E125" s="21"/>
      <c r="F125" s="24"/>
      <c r="G125"/>
      <c r="H125"/>
      <c r="I125"/>
      <c r="J125"/>
      <c r="K125"/>
      <c r="L125"/>
      <c r="M125"/>
      <c r="N125"/>
      <c r="O125" s="25"/>
      <c r="P125" s="25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</row>
    <row r="126" spans="5:46" x14ac:dyDescent="0.2">
      <c r="E126" s="21"/>
      <c r="F126" s="24"/>
      <c r="G126"/>
      <c r="H126"/>
      <c r="I126"/>
      <c r="J126"/>
      <c r="K126"/>
      <c r="L126"/>
      <c r="M126"/>
      <c r="N126"/>
      <c r="O126" s="25"/>
      <c r="P126" s="25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</row>
    <row r="127" spans="5:46" x14ac:dyDescent="0.2">
      <c r="E127" s="21"/>
      <c r="F127" s="24"/>
      <c r="G127"/>
      <c r="H127"/>
      <c r="I127"/>
      <c r="J127"/>
      <c r="K127"/>
      <c r="L127"/>
      <c r="M127"/>
      <c r="N127"/>
      <c r="O127" s="25"/>
      <c r="P127" s="25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</row>
    <row r="128" spans="5:46" ht="16.5" x14ac:dyDescent="0.25">
      <c r="E128" s="21"/>
      <c r="F128" s="24"/>
      <c r="G128" s="26"/>
      <c r="H128" s="27"/>
      <c r="I128" s="27"/>
      <c r="J128" s="27"/>
      <c r="K128" s="27"/>
      <c r="L128" s="27"/>
      <c r="M128" s="27"/>
      <c r="N128" s="20"/>
      <c r="O128" s="25"/>
      <c r="P128" s="25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</row>
    <row r="129" spans="5:46" ht="16.5" x14ac:dyDescent="0.25">
      <c r="E129" s="21"/>
      <c r="F129" s="24"/>
      <c r="G129" s="28"/>
      <c r="H129" s="28"/>
      <c r="I129" s="28"/>
      <c r="J129" s="28"/>
      <c r="K129" s="28"/>
      <c r="L129" s="28"/>
      <c r="M129" s="28"/>
      <c r="N129" s="20"/>
      <c r="O129" s="25"/>
      <c r="P129" s="25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</row>
    <row r="130" spans="5:46" ht="16.5" x14ac:dyDescent="0.25">
      <c r="E130" s="21"/>
      <c r="F130" s="24"/>
      <c r="G130" s="28"/>
      <c r="H130" s="28"/>
      <c r="I130" s="28"/>
      <c r="J130" s="28"/>
      <c r="K130" s="28"/>
      <c r="L130" s="28"/>
      <c r="M130" s="28"/>
      <c r="N130" s="20"/>
      <c r="O130" s="25"/>
      <c r="P130" s="25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</row>
    <row r="131" spans="5:46" ht="16.5" x14ac:dyDescent="0.25">
      <c r="E131" s="21"/>
      <c r="F131" s="24"/>
      <c r="G131" s="26"/>
      <c r="H131" s="26"/>
      <c r="I131" s="26"/>
      <c r="J131" s="26"/>
      <c r="K131" s="26"/>
      <c r="L131" s="29"/>
      <c r="M131" s="26"/>
      <c r="N131" s="20"/>
      <c r="O131" s="25"/>
      <c r="P131" s="25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</row>
    <row r="132" spans="5:46" ht="16.5" x14ac:dyDescent="0.25">
      <c r="E132" s="21"/>
      <c r="F132" s="24"/>
      <c r="G132" s="26"/>
      <c r="H132" s="27"/>
      <c r="I132" s="27"/>
      <c r="J132" s="27"/>
      <c r="K132" s="27"/>
      <c r="L132" s="27"/>
      <c r="M132" s="27"/>
      <c r="N132" s="20"/>
      <c r="O132" s="25"/>
      <c r="P132" s="25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</row>
    <row r="133" spans="5:46" ht="16.5" x14ac:dyDescent="0.25">
      <c r="E133" s="21"/>
      <c r="F133" s="24"/>
      <c r="G133" s="26"/>
      <c r="H133" s="27"/>
      <c r="I133" s="27"/>
      <c r="J133" s="27"/>
      <c r="K133" s="27"/>
      <c r="L133" s="27"/>
      <c r="M133" s="27"/>
      <c r="N133" s="20"/>
      <c r="O133" s="25"/>
      <c r="P133" s="25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</row>
    <row r="134" spans="5:46" x14ac:dyDescent="0.2">
      <c r="E134" s="21"/>
      <c r="F134" s="24"/>
      <c r="G134" s="26"/>
      <c r="H134" s="26"/>
      <c r="I134" s="26"/>
      <c r="J134" s="26"/>
      <c r="K134" s="26"/>
      <c r="L134" s="26"/>
      <c r="M134" s="26"/>
      <c r="N134" s="20"/>
      <c r="O134" s="25"/>
      <c r="P134" s="25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</row>
    <row r="135" spans="5:46" ht="16.5" x14ac:dyDescent="0.25">
      <c r="E135" s="21"/>
      <c r="F135" s="24"/>
      <c r="G135" s="28"/>
      <c r="H135" s="28"/>
      <c r="I135" s="28"/>
      <c r="J135" s="28"/>
      <c r="K135" s="28"/>
      <c r="L135" s="28"/>
      <c r="M135" s="28"/>
      <c r="N135" s="20"/>
      <c r="O135" s="25"/>
      <c r="P135" s="25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</row>
    <row r="136" spans="5:46" ht="16.5" x14ac:dyDescent="0.25">
      <c r="E136" s="21"/>
      <c r="F136" s="24"/>
      <c r="G136" s="28"/>
      <c r="H136" s="28"/>
      <c r="I136" s="28"/>
      <c r="J136" s="28"/>
      <c r="K136" s="28"/>
      <c r="L136" s="28"/>
      <c r="M136" s="28"/>
      <c r="N136" s="20"/>
      <c r="O136" s="25"/>
      <c r="P136" s="25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</row>
    <row r="137" spans="5:46" x14ac:dyDescent="0.2">
      <c r="E137" s="21"/>
      <c r="F137" s="24"/>
      <c r="G137" s="26"/>
      <c r="H137" s="26"/>
      <c r="I137" s="26"/>
      <c r="J137" s="26"/>
      <c r="K137" s="26"/>
      <c r="L137" s="26"/>
      <c r="M137" s="26"/>
      <c r="N137" s="20"/>
      <c r="O137" s="25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</row>
    <row r="138" spans="5:46" ht="16.5" x14ac:dyDescent="0.25">
      <c r="E138" s="21"/>
      <c r="F138" s="24"/>
      <c r="G138" s="26"/>
      <c r="H138" s="29"/>
      <c r="I138" s="26"/>
      <c r="J138" s="26"/>
      <c r="K138" s="26"/>
      <c r="L138" s="29"/>
      <c r="M138" s="26"/>
      <c r="N138" s="20"/>
      <c r="O138" s="25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</row>
    <row r="139" spans="5:46" x14ac:dyDescent="0.2">
      <c r="E139" s="21"/>
      <c r="F139" s="24"/>
      <c r="G139" s="26"/>
      <c r="H139" s="26"/>
      <c r="I139" s="26"/>
      <c r="J139" s="26"/>
      <c r="K139" s="26"/>
      <c r="L139" s="26"/>
      <c r="M139" s="26"/>
      <c r="N139" s="20"/>
      <c r="O139" s="25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</row>
    <row r="140" spans="5:46" x14ac:dyDescent="0.2">
      <c r="E140" s="21"/>
      <c r="F140" s="24"/>
      <c r="G140" s="26"/>
      <c r="H140" s="26"/>
      <c r="I140" s="26"/>
      <c r="J140" s="26"/>
      <c r="K140" s="26"/>
      <c r="L140" s="26"/>
      <c r="M140" s="26"/>
      <c r="N140" s="20"/>
      <c r="O140" s="25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</row>
    <row r="141" spans="5:46" ht="16.5" x14ac:dyDescent="0.25">
      <c r="E141" s="21"/>
      <c r="F141" s="24"/>
      <c r="G141" s="28"/>
      <c r="H141" s="28"/>
      <c r="I141" s="28"/>
      <c r="J141" s="28"/>
      <c r="K141" s="28"/>
      <c r="L141" s="28"/>
      <c r="M141" s="28"/>
      <c r="N141" s="20"/>
      <c r="O141" s="25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</row>
    <row r="142" spans="5:46" ht="16.5" x14ac:dyDescent="0.25">
      <c r="E142" s="21"/>
      <c r="F142" s="24"/>
      <c r="G142" s="76"/>
      <c r="H142" s="76"/>
      <c r="I142" s="76"/>
      <c r="J142" s="76"/>
      <c r="K142" s="76"/>
      <c r="L142" s="76"/>
      <c r="M142" s="76"/>
      <c r="N142" s="20"/>
      <c r="O142" s="25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</row>
    <row r="143" spans="5:46" x14ac:dyDescent="0.2">
      <c r="E143" s="21"/>
      <c r="F143" s="24"/>
      <c r="G143" s="26"/>
      <c r="H143" s="26"/>
      <c r="I143" s="26"/>
      <c r="J143" s="26"/>
      <c r="K143" s="26"/>
      <c r="L143" s="26"/>
      <c r="M143" s="26"/>
      <c r="N143" s="20"/>
      <c r="O143" s="25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</row>
    <row r="144" spans="5:46" ht="16.5" x14ac:dyDescent="0.25">
      <c r="E144" s="21"/>
      <c r="F144" s="24"/>
      <c r="G144" s="26"/>
      <c r="H144" s="29"/>
      <c r="I144" s="26"/>
      <c r="J144" s="26"/>
      <c r="K144" s="26"/>
      <c r="L144" s="29"/>
      <c r="M144" s="26"/>
      <c r="N144" s="20"/>
      <c r="O144" s="25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</row>
    <row r="145" spans="5:46" x14ac:dyDescent="0.2">
      <c r="E145" s="21"/>
      <c r="F145" s="24"/>
      <c r="G145" s="26"/>
      <c r="H145" s="26"/>
      <c r="I145" s="26"/>
      <c r="J145" s="26"/>
      <c r="K145" s="26"/>
      <c r="L145" s="26"/>
      <c r="M145" s="26"/>
      <c r="N145" s="20"/>
      <c r="O145" s="2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</row>
    <row r="146" spans="5:46" x14ac:dyDescent="0.2">
      <c r="E146" s="21"/>
      <c r="F146" s="24"/>
      <c r="G146" s="26"/>
      <c r="H146" s="26"/>
      <c r="I146" s="26"/>
      <c r="J146" s="26"/>
      <c r="K146" s="26"/>
      <c r="L146" s="26"/>
      <c r="M146" s="26"/>
      <c r="N146" s="20"/>
      <c r="O146" s="25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</row>
    <row r="147" spans="5:46" ht="16.5" x14ac:dyDescent="0.25">
      <c r="E147" s="21"/>
      <c r="F147" s="24"/>
      <c r="G147" s="76"/>
      <c r="H147" s="76"/>
      <c r="I147" s="76"/>
      <c r="J147" s="76"/>
      <c r="K147" s="76"/>
      <c r="L147" s="76"/>
      <c r="M147" s="76"/>
      <c r="N147" s="20"/>
      <c r="O147" s="25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</row>
    <row r="148" spans="5:46" ht="16.5" x14ac:dyDescent="0.25">
      <c r="E148" s="21"/>
      <c r="F148" s="24"/>
      <c r="G148" s="76"/>
      <c r="H148" s="76"/>
      <c r="I148" s="76"/>
      <c r="J148" s="76"/>
      <c r="K148" s="76"/>
      <c r="L148" s="76"/>
      <c r="M148" s="76"/>
      <c r="N148" s="20"/>
      <c r="O148" s="25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</row>
    <row r="149" spans="5:46" x14ac:dyDescent="0.2">
      <c r="E149" s="21"/>
      <c r="F149" s="24"/>
      <c r="G149" s="26"/>
      <c r="H149" s="26"/>
      <c r="I149" s="26"/>
      <c r="J149" s="26"/>
      <c r="K149" s="26"/>
      <c r="L149" s="26"/>
      <c r="M149" s="26"/>
      <c r="N149" s="20"/>
      <c r="O149" s="25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</row>
    <row r="150" spans="5:46" ht="16.5" x14ac:dyDescent="0.25">
      <c r="E150" s="21"/>
      <c r="F150" s="24"/>
      <c r="G150" s="26"/>
      <c r="H150" s="29"/>
      <c r="I150" s="26"/>
      <c r="J150" s="26"/>
      <c r="K150" s="26"/>
      <c r="L150" s="29"/>
      <c r="M150" s="26"/>
      <c r="N150" s="25"/>
      <c r="O150" s="25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</row>
    <row r="151" spans="5:46" x14ac:dyDescent="0.2">
      <c r="E151" s="21"/>
      <c r="F151" s="24"/>
      <c r="G151" s="26"/>
      <c r="H151" s="26"/>
      <c r="I151" s="26"/>
      <c r="J151" s="26"/>
      <c r="K151" s="26"/>
      <c r="L151" s="26"/>
      <c r="M151" s="26"/>
      <c r="N151" s="25"/>
      <c r="O151" s="25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</row>
    <row r="152" spans="5:46" x14ac:dyDescent="0.2">
      <c r="E152" s="21"/>
      <c r="F152" s="24"/>
      <c r="G152" s="26"/>
      <c r="H152" s="26"/>
      <c r="I152" s="26"/>
      <c r="J152" s="26"/>
      <c r="K152" s="26"/>
      <c r="L152" s="26"/>
      <c r="M152" s="26"/>
      <c r="N152" s="25"/>
      <c r="O152" s="25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</row>
    <row r="153" spans="5:46" ht="16.5" x14ac:dyDescent="0.25">
      <c r="E153" s="21"/>
      <c r="F153" s="24"/>
      <c r="G153" s="76"/>
      <c r="H153" s="76"/>
      <c r="I153" s="76"/>
      <c r="J153" s="76"/>
      <c r="K153" s="76"/>
      <c r="L153" s="76"/>
      <c r="M153" s="76"/>
      <c r="N153" s="25"/>
      <c r="O153" s="25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</row>
    <row r="154" spans="5:46" ht="16.5" x14ac:dyDescent="0.25">
      <c r="E154" s="21"/>
      <c r="F154" s="24"/>
      <c r="G154" s="76"/>
      <c r="H154" s="76"/>
      <c r="I154" s="76"/>
      <c r="J154" s="76"/>
      <c r="K154" s="76"/>
      <c r="L154" s="76"/>
      <c r="M154" s="76"/>
      <c r="N154" s="25"/>
      <c r="O154" s="25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</row>
    <row r="155" spans="5:46" x14ac:dyDescent="0.2">
      <c r="E155" s="21"/>
      <c r="F155" s="24"/>
      <c r="G155" s="26"/>
      <c r="H155" s="26"/>
      <c r="I155" s="26"/>
      <c r="J155" s="26"/>
      <c r="K155" s="26"/>
      <c r="L155" s="26"/>
      <c r="M155" s="26"/>
      <c r="N155" s="25"/>
      <c r="O155" s="2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</row>
    <row r="156" spans="5:46" ht="16.5" x14ac:dyDescent="0.25">
      <c r="E156" s="21"/>
      <c r="F156" s="24"/>
      <c r="G156" s="26"/>
      <c r="H156" s="29"/>
      <c r="I156" s="26"/>
      <c r="J156" s="26"/>
      <c r="K156" s="26"/>
      <c r="L156" s="29"/>
      <c r="M156" s="26"/>
      <c r="N156" s="25"/>
      <c r="O156" s="25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</row>
    <row r="157" spans="5:46" x14ac:dyDescent="0.2">
      <c r="E157" s="21"/>
      <c r="F157" s="24"/>
      <c r="G157" s="24"/>
      <c r="H157" s="22"/>
      <c r="I157" s="22"/>
      <c r="J157" s="22"/>
      <c r="K157" s="25"/>
      <c r="L157" s="25"/>
      <c r="M157" s="25"/>
      <c r="N157" s="25"/>
      <c r="O157" s="25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</row>
    <row r="158" spans="5:46" x14ac:dyDescent="0.2">
      <c r="E158" s="21"/>
      <c r="F158" s="24"/>
      <c r="G158" s="24"/>
      <c r="H158" s="22"/>
      <c r="I158" s="22"/>
      <c r="J158" s="22"/>
      <c r="K158" s="25"/>
      <c r="L158" s="25"/>
      <c r="M158" s="25"/>
      <c r="N158" s="25"/>
      <c r="O158" s="25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</row>
    <row r="159" spans="5:46" x14ac:dyDescent="0.2">
      <c r="E159" s="21"/>
      <c r="F159" s="24"/>
      <c r="G159" s="24"/>
      <c r="H159" s="22"/>
      <c r="I159" s="22"/>
      <c r="J159" s="22"/>
      <c r="K159" s="25"/>
      <c r="L159" s="25"/>
      <c r="M159" s="25"/>
      <c r="N159" s="25"/>
      <c r="O159" s="25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</row>
    <row r="160" spans="5:46" x14ac:dyDescent="0.2">
      <c r="E160" s="21"/>
      <c r="F160" s="24"/>
      <c r="G160" s="24"/>
      <c r="H160" s="22"/>
      <c r="I160" s="22"/>
      <c r="J160" s="22"/>
      <c r="K160" s="25"/>
      <c r="L160" s="25"/>
      <c r="M160" s="25"/>
      <c r="N160" s="25"/>
      <c r="O160" s="25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</row>
    <row r="161" spans="5:46" x14ac:dyDescent="0.2">
      <c r="E161" s="21"/>
      <c r="F161" s="21"/>
      <c r="G161" s="24"/>
      <c r="H161" s="22"/>
      <c r="I161" s="22"/>
      <c r="J161" s="22"/>
      <c r="K161" s="25"/>
      <c r="L161" s="25"/>
      <c r="M161" s="25"/>
      <c r="N161" s="25"/>
      <c r="O161" s="25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</row>
    <row r="162" spans="5:46" x14ac:dyDescent="0.2">
      <c r="E162" s="21"/>
      <c r="F162" s="21"/>
      <c r="G162" s="21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</row>
    <row r="163" spans="5:46" x14ac:dyDescent="0.2">
      <c r="E163" s="21"/>
      <c r="F163" s="21"/>
      <c r="G163" s="21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</row>
    <row r="164" spans="5:46" x14ac:dyDescent="0.2">
      <c r="E164" s="21"/>
      <c r="F164" s="21"/>
      <c r="G164" s="21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</row>
    <row r="165" spans="5:46" x14ac:dyDescent="0.2">
      <c r="E165" s="21"/>
      <c r="F165" s="21"/>
      <c r="G165" s="21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</row>
    <row r="166" spans="5:46" x14ac:dyDescent="0.2">
      <c r="E166" s="21"/>
      <c r="F166" s="21"/>
      <c r="G166" s="21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</row>
    <row r="167" spans="5:46" x14ac:dyDescent="0.2">
      <c r="E167" s="21"/>
      <c r="F167" s="21"/>
      <c r="G167" s="21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</row>
    <row r="168" spans="5:46" x14ac:dyDescent="0.2">
      <c r="E168" s="21"/>
      <c r="F168" s="21"/>
      <c r="G168" s="21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</row>
    <row r="169" spans="5:46" x14ac:dyDescent="0.2">
      <c r="E169" s="21"/>
      <c r="F169" s="21"/>
      <c r="G169" s="21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</row>
    <row r="170" spans="5:46" x14ac:dyDescent="0.2">
      <c r="E170" s="21"/>
      <c r="F170" s="21"/>
      <c r="G170" s="21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</row>
    <row r="171" spans="5:46" x14ac:dyDescent="0.2">
      <c r="E171" s="21"/>
      <c r="F171" s="21"/>
      <c r="G171" s="2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</row>
    <row r="172" spans="5:46" x14ac:dyDescent="0.2">
      <c r="E172" s="21"/>
      <c r="F172" s="21"/>
      <c r="G172" s="21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</row>
    <row r="173" spans="5:46" x14ac:dyDescent="0.2">
      <c r="E173" s="21"/>
      <c r="F173" s="21"/>
      <c r="G173" s="21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</row>
    <row r="174" spans="5:46" x14ac:dyDescent="0.2">
      <c r="E174" s="21"/>
      <c r="F174" s="21"/>
      <c r="G174" s="21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</row>
    <row r="175" spans="5:46" x14ac:dyDescent="0.2">
      <c r="E175" s="21"/>
      <c r="F175" s="21"/>
      <c r="G175" s="21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</row>
    <row r="176" spans="5:46" x14ac:dyDescent="0.2">
      <c r="E176" s="21"/>
      <c r="F176" s="21"/>
      <c r="G176" s="21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</row>
    <row r="177" spans="5:46" x14ac:dyDescent="0.2">
      <c r="E177" s="21"/>
      <c r="F177" s="21"/>
      <c r="G177" s="21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</row>
    <row r="178" spans="5:46" x14ac:dyDescent="0.2">
      <c r="E178" s="21"/>
      <c r="F178" s="21"/>
      <c r="G178" s="21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</row>
    <row r="179" spans="5:46" x14ac:dyDescent="0.2">
      <c r="E179" s="21"/>
      <c r="F179" s="21"/>
      <c r="G179" s="21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</row>
    <row r="180" spans="5:46" x14ac:dyDescent="0.2">
      <c r="E180" s="21"/>
      <c r="F180" s="21"/>
      <c r="G180" s="21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</row>
    <row r="181" spans="5:46" x14ac:dyDescent="0.2">
      <c r="E181" s="21"/>
      <c r="F181" s="21"/>
      <c r="G181" s="2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</row>
    <row r="182" spans="5:46" x14ac:dyDescent="0.2">
      <c r="E182" s="21"/>
      <c r="F182" s="21"/>
      <c r="G182" s="21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</row>
    <row r="183" spans="5:46" x14ac:dyDescent="0.2">
      <c r="E183" s="21"/>
      <c r="F183" s="21"/>
      <c r="G183" s="21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</row>
    <row r="184" spans="5:46" x14ac:dyDescent="0.2">
      <c r="E184" s="21"/>
      <c r="F184" s="21"/>
      <c r="G184" s="21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</row>
    <row r="185" spans="5:46" x14ac:dyDescent="0.2">
      <c r="E185" s="21"/>
      <c r="F185" s="21"/>
      <c r="G185" s="21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</row>
    <row r="186" spans="5:46" x14ac:dyDescent="0.2">
      <c r="E186" s="21"/>
      <c r="F186" s="21"/>
      <c r="G186" s="21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</row>
    <row r="187" spans="5:46" x14ac:dyDescent="0.2">
      <c r="E187" s="21"/>
      <c r="F187" s="21"/>
      <c r="G187" s="21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</row>
    <row r="188" spans="5:46" x14ac:dyDescent="0.2">
      <c r="E188" s="21"/>
      <c r="F188" s="21"/>
      <c r="G188" s="21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</row>
    <row r="189" spans="5:46" x14ac:dyDescent="0.2">
      <c r="E189" s="21"/>
      <c r="F189" s="21"/>
      <c r="G189" s="21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</row>
    <row r="190" spans="5:46" x14ac:dyDescent="0.2">
      <c r="E190" s="21"/>
      <c r="F190" s="21"/>
      <c r="G190" s="21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</row>
    <row r="191" spans="5:46" x14ac:dyDescent="0.2">
      <c r="E191" s="21"/>
      <c r="F191" s="21"/>
      <c r="G191" s="2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</row>
    <row r="192" spans="5:46" x14ac:dyDescent="0.2">
      <c r="E192" s="21"/>
      <c r="F192" s="21"/>
      <c r="G192" s="21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</row>
    <row r="193" spans="5:46" x14ac:dyDescent="0.2">
      <c r="E193" s="21"/>
      <c r="F193" s="21"/>
      <c r="G193" s="21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</row>
    <row r="194" spans="5:46" x14ac:dyDescent="0.2">
      <c r="E194" s="21"/>
      <c r="F194" s="21"/>
      <c r="G194" s="21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</row>
    <row r="195" spans="5:46" x14ac:dyDescent="0.2">
      <c r="E195" s="21"/>
      <c r="F195" s="21"/>
      <c r="G195" s="21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</row>
    <row r="196" spans="5:46" x14ac:dyDescent="0.2">
      <c r="E196" s="21"/>
      <c r="F196" s="21"/>
      <c r="G196" s="21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</row>
    <row r="197" spans="5:46" x14ac:dyDescent="0.2">
      <c r="E197" s="21"/>
      <c r="F197" s="21"/>
      <c r="G197" s="21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</row>
    <row r="198" spans="5:46" x14ac:dyDescent="0.2">
      <c r="E198" s="21"/>
      <c r="F198" s="21"/>
      <c r="G198" s="21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</row>
    <row r="199" spans="5:46" x14ac:dyDescent="0.2">
      <c r="E199" s="21"/>
      <c r="F199" s="21"/>
      <c r="G199" s="21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</row>
    <row r="200" spans="5:46" x14ac:dyDescent="0.2">
      <c r="E200" s="21"/>
      <c r="F200" s="21"/>
      <c r="G200" s="21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</row>
    <row r="201" spans="5:46" x14ac:dyDescent="0.2">
      <c r="E201" s="21"/>
      <c r="F201" s="21"/>
      <c r="G201" s="2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</row>
    <row r="202" spans="5:46" x14ac:dyDescent="0.2">
      <c r="E202" s="21"/>
      <c r="F202" s="21"/>
      <c r="G202" s="21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</row>
    <row r="203" spans="5:46" x14ac:dyDescent="0.2">
      <c r="E203" s="21"/>
      <c r="F203" s="21"/>
      <c r="G203" s="21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</row>
    <row r="204" spans="5:46" x14ac:dyDescent="0.2">
      <c r="E204" s="21"/>
      <c r="F204" s="21"/>
      <c r="G204" s="21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</row>
    <row r="205" spans="5:46" x14ac:dyDescent="0.2">
      <c r="E205" s="21"/>
      <c r="F205" s="21"/>
      <c r="G205" s="21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</row>
    <row r="206" spans="5:46" x14ac:dyDescent="0.2">
      <c r="E206" s="21"/>
      <c r="F206" s="21"/>
      <c r="G206" s="21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</row>
    <row r="207" spans="5:46" x14ac:dyDescent="0.2">
      <c r="E207" s="21"/>
      <c r="F207" s="21"/>
      <c r="G207" s="21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</row>
    <row r="208" spans="5:46" x14ac:dyDescent="0.2">
      <c r="E208" s="21"/>
      <c r="F208" s="21"/>
      <c r="G208" s="21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</row>
    <row r="209" spans="5:46" x14ac:dyDescent="0.2">
      <c r="E209" s="21"/>
      <c r="F209" s="21"/>
      <c r="G209" s="21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</row>
    <row r="210" spans="5:46" x14ac:dyDescent="0.2">
      <c r="E210" s="21"/>
      <c r="F210" s="21"/>
      <c r="G210" s="21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</row>
    <row r="211" spans="5:46" x14ac:dyDescent="0.2">
      <c r="E211" s="21"/>
      <c r="F211" s="21"/>
      <c r="G211" s="2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</row>
    <row r="212" spans="5:46" x14ac:dyDescent="0.2">
      <c r="E212" s="21"/>
      <c r="F212" s="21"/>
      <c r="G212" s="21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</row>
    <row r="213" spans="5:46" x14ac:dyDescent="0.2">
      <c r="E213" s="21"/>
      <c r="F213" s="21"/>
      <c r="G213" s="21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</row>
    <row r="214" spans="5:46" x14ac:dyDescent="0.2">
      <c r="E214" s="21"/>
      <c r="F214" s="21"/>
      <c r="G214" s="21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</row>
    <row r="215" spans="5:46" x14ac:dyDescent="0.2">
      <c r="E215" s="21"/>
      <c r="F215" s="21"/>
      <c r="G215" s="21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</row>
    <row r="216" spans="5:46" x14ac:dyDescent="0.2">
      <c r="E216" s="21"/>
      <c r="F216" s="21"/>
      <c r="G216" s="21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</row>
    <row r="217" spans="5:46" x14ac:dyDescent="0.2">
      <c r="E217" s="21"/>
      <c r="F217" s="21"/>
      <c r="G217" s="21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</row>
    <row r="218" spans="5:46" x14ac:dyDescent="0.2">
      <c r="E218" s="21"/>
      <c r="F218" s="21"/>
      <c r="G218" s="21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</row>
    <row r="219" spans="5:46" x14ac:dyDescent="0.2">
      <c r="E219" s="21"/>
      <c r="F219" s="21"/>
      <c r="G219" s="21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</row>
    <row r="220" spans="5:46" x14ac:dyDescent="0.2">
      <c r="E220" s="21"/>
      <c r="F220" s="21"/>
      <c r="G220" s="21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</row>
    <row r="221" spans="5:46" x14ac:dyDescent="0.2">
      <c r="E221" s="21"/>
      <c r="F221" s="21"/>
      <c r="G221" s="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</row>
    <row r="222" spans="5:46" x14ac:dyDescent="0.2">
      <c r="E222" s="21"/>
      <c r="F222" s="21"/>
      <c r="G222" s="21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</row>
    <row r="223" spans="5:46" x14ac:dyDescent="0.2">
      <c r="E223" s="21"/>
      <c r="F223" s="21"/>
      <c r="G223" s="21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</row>
    <row r="224" spans="5:46" x14ac:dyDescent="0.2">
      <c r="E224" s="21"/>
      <c r="F224" s="21"/>
      <c r="G224" s="21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</row>
    <row r="225" spans="5:46" x14ac:dyDescent="0.2">
      <c r="E225" s="21"/>
      <c r="F225" s="21"/>
      <c r="G225" s="21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</row>
    <row r="226" spans="5:46" x14ac:dyDescent="0.2">
      <c r="E226" s="21"/>
      <c r="F226" s="21"/>
      <c r="G226" s="21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</row>
    <row r="227" spans="5:46" x14ac:dyDescent="0.2">
      <c r="E227" s="21"/>
      <c r="F227" s="21"/>
      <c r="G227" s="21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</row>
    <row r="228" spans="5:46" x14ac:dyDescent="0.2">
      <c r="E228" s="21"/>
      <c r="F228" s="21"/>
      <c r="G228" s="21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</row>
    <row r="229" spans="5:46" x14ac:dyDescent="0.2">
      <c r="E229" s="21"/>
      <c r="F229" s="21"/>
      <c r="G229" s="21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</row>
    <row r="230" spans="5:46" x14ac:dyDescent="0.2">
      <c r="E230" s="21"/>
      <c r="F230" s="21"/>
      <c r="G230" s="21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</row>
    <row r="231" spans="5:46" x14ac:dyDescent="0.2">
      <c r="E231" s="21"/>
      <c r="F231" s="21"/>
      <c r="G231" s="2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</row>
    <row r="232" spans="5:46" x14ac:dyDescent="0.2">
      <c r="E232" s="21"/>
      <c r="F232" s="21"/>
      <c r="G232" s="21"/>
    </row>
    <row r="233" spans="5:46" x14ac:dyDescent="0.2">
      <c r="E233" s="21"/>
      <c r="F233" s="21"/>
      <c r="G233" s="21"/>
    </row>
    <row r="234" spans="5:46" x14ac:dyDescent="0.2">
      <c r="E234" s="21"/>
      <c r="F234" s="21"/>
      <c r="G234" s="21"/>
    </row>
    <row r="235" spans="5:46" x14ac:dyDescent="0.2">
      <c r="E235" s="21"/>
      <c r="F235" s="21"/>
      <c r="G235" s="21"/>
    </row>
    <row r="236" spans="5:46" x14ac:dyDescent="0.2">
      <c r="E236" s="21"/>
      <c r="F236" s="21"/>
      <c r="G236" s="21"/>
    </row>
    <row r="237" spans="5:46" x14ac:dyDescent="0.2">
      <c r="E237" s="21"/>
      <c r="F237" s="21"/>
      <c r="G237" s="21"/>
    </row>
    <row r="238" spans="5:46" x14ac:dyDescent="0.2">
      <c r="E238" s="21"/>
      <c r="F238" s="21"/>
      <c r="G238" s="21"/>
    </row>
    <row r="239" spans="5:46" x14ac:dyDescent="0.2">
      <c r="E239" s="21"/>
      <c r="F239" s="21"/>
      <c r="G239" s="21"/>
    </row>
    <row r="240" spans="5:46" x14ac:dyDescent="0.2">
      <c r="E240" s="21"/>
      <c r="F240" s="21"/>
      <c r="G240" s="21"/>
    </row>
    <row r="241" spans="5:7" x14ac:dyDescent="0.2">
      <c r="E241" s="21"/>
      <c r="F241" s="21"/>
      <c r="G241" s="21"/>
    </row>
    <row r="242" spans="5:7" x14ac:dyDescent="0.2">
      <c r="E242" s="21"/>
      <c r="F242" s="21"/>
      <c r="G242" s="21"/>
    </row>
    <row r="243" spans="5:7" x14ac:dyDescent="0.2">
      <c r="E243" s="21"/>
      <c r="F243" s="21"/>
      <c r="G243" s="21"/>
    </row>
    <row r="244" spans="5:7" x14ac:dyDescent="0.2">
      <c r="E244" s="21"/>
      <c r="F244" s="21"/>
      <c r="G244" s="21"/>
    </row>
    <row r="245" spans="5:7" x14ac:dyDescent="0.2">
      <c r="E245" s="21"/>
      <c r="F245" s="21"/>
      <c r="G245" s="21"/>
    </row>
    <row r="246" spans="5:7" x14ac:dyDescent="0.2">
      <c r="E246" s="21"/>
      <c r="F246" s="21"/>
      <c r="G246" s="21"/>
    </row>
    <row r="247" spans="5:7" x14ac:dyDescent="0.2">
      <c r="E247" s="21"/>
      <c r="F247" s="21"/>
      <c r="G247" s="21"/>
    </row>
    <row r="248" spans="5:7" x14ac:dyDescent="0.2">
      <c r="E248" s="21"/>
      <c r="F248" s="21"/>
      <c r="G248" s="21"/>
    </row>
    <row r="249" spans="5:7" x14ac:dyDescent="0.2">
      <c r="E249" s="21"/>
      <c r="F249" s="21"/>
      <c r="G249" s="21"/>
    </row>
    <row r="250" spans="5:7" x14ac:dyDescent="0.2">
      <c r="E250" s="21"/>
      <c r="F250" s="21"/>
      <c r="G250" s="21"/>
    </row>
    <row r="251" spans="5:7" x14ac:dyDescent="0.2">
      <c r="E251" s="21"/>
      <c r="F251" s="21"/>
      <c r="G251" s="21"/>
    </row>
    <row r="252" spans="5:7" x14ac:dyDescent="0.2">
      <c r="E252" s="21"/>
      <c r="F252" s="21"/>
      <c r="G252" s="21"/>
    </row>
    <row r="253" spans="5:7" x14ac:dyDescent="0.2">
      <c r="E253" s="21"/>
      <c r="F253" s="21"/>
      <c r="G253" s="21"/>
    </row>
    <row r="254" spans="5:7" x14ac:dyDescent="0.2">
      <c r="E254" s="21"/>
      <c r="F254" s="21"/>
      <c r="G254" s="21"/>
    </row>
    <row r="255" spans="5:7" x14ac:dyDescent="0.2">
      <c r="E255" s="21"/>
      <c r="F255" s="21"/>
      <c r="G255" s="21"/>
    </row>
    <row r="256" spans="5:7" x14ac:dyDescent="0.2">
      <c r="E256" s="21"/>
      <c r="F256" s="21"/>
      <c r="G256" s="21"/>
    </row>
    <row r="257" spans="5:7" x14ac:dyDescent="0.2">
      <c r="E257" s="21"/>
      <c r="F257" s="21"/>
      <c r="G257" s="21"/>
    </row>
    <row r="258" spans="5:7" x14ac:dyDescent="0.2">
      <c r="E258" s="21"/>
      <c r="F258" s="21"/>
      <c r="G258" s="21"/>
    </row>
    <row r="259" spans="5:7" x14ac:dyDescent="0.2">
      <c r="E259" s="21"/>
      <c r="F259" s="21"/>
      <c r="G259" s="21"/>
    </row>
    <row r="260" spans="5:7" x14ac:dyDescent="0.2">
      <c r="E260" s="21"/>
      <c r="F260" s="21"/>
      <c r="G260" s="21"/>
    </row>
    <row r="261" spans="5:7" x14ac:dyDescent="0.2">
      <c r="E261" s="21"/>
      <c r="F261" s="21"/>
      <c r="G261" s="21"/>
    </row>
    <row r="262" spans="5:7" x14ac:dyDescent="0.2">
      <c r="E262" s="21"/>
      <c r="F262" s="21"/>
      <c r="G262" s="21"/>
    </row>
    <row r="263" spans="5:7" x14ac:dyDescent="0.2">
      <c r="E263" s="21"/>
      <c r="F263" s="21"/>
      <c r="G263" s="21"/>
    </row>
    <row r="264" spans="5:7" x14ac:dyDescent="0.2">
      <c r="E264" s="21"/>
      <c r="F264" s="21"/>
      <c r="G264" s="21"/>
    </row>
    <row r="265" spans="5:7" x14ac:dyDescent="0.2">
      <c r="E265" s="21"/>
      <c r="F265" s="21"/>
      <c r="G265" s="21"/>
    </row>
    <row r="266" spans="5:7" x14ac:dyDescent="0.2">
      <c r="E266" s="21"/>
      <c r="F266" s="21"/>
      <c r="G266" s="21"/>
    </row>
    <row r="267" spans="5:7" x14ac:dyDescent="0.2">
      <c r="E267" s="21"/>
      <c r="F267" s="21"/>
      <c r="G267" s="21"/>
    </row>
    <row r="268" spans="5:7" x14ac:dyDescent="0.2">
      <c r="E268" s="21"/>
      <c r="F268" s="21"/>
      <c r="G268" s="21"/>
    </row>
    <row r="269" spans="5:7" x14ac:dyDescent="0.2">
      <c r="E269" s="21"/>
      <c r="F269" s="21"/>
      <c r="G269" s="21"/>
    </row>
    <row r="270" spans="5:7" x14ac:dyDescent="0.2">
      <c r="E270" s="21"/>
      <c r="F270" s="21"/>
      <c r="G270" s="21"/>
    </row>
    <row r="271" spans="5:7" x14ac:dyDescent="0.2">
      <c r="E271" s="21"/>
      <c r="F271" s="21"/>
      <c r="G271" s="21"/>
    </row>
    <row r="272" spans="5:7" x14ac:dyDescent="0.2">
      <c r="E272" s="21"/>
      <c r="F272" s="21"/>
      <c r="G272" s="21"/>
    </row>
    <row r="273" spans="5:7" x14ac:dyDescent="0.2">
      <c r="E273" s="21"/>
      <c r="F273" s="21"/>
      <c r="G273" s="21"/>
    </row>
    <row r="274" spans="5:7" x14ac:dyDescent="0.2">
      <c r="E274" s="21"/>
      <c r="F274" s="21"/>
      <c r="G274" s="21"/>
    </row>
    <row r="275" spans="5:7" x14ac:dyDescent="0.2">
      <c r="E275" s="21"/>
      <c r="F275" s="21"/>
      <c r="G275" s="21"/>
    </row>
    <row r="276" spans="5:7" x14ac:dyDescent="0.2">
      <c r="E276" s="21"/>
      <c r="F276" s="21"/>
      <c r="G276" s="21"/>
    </row>
    <row r="277" spans="5:7" x14ac:dyDescent="0.2">
      <c r="E277" s="21"/>
      <c r="F277" s="21"/>
      <c r="G277" s="21"/>
    </row>
    <row r="278" spans="5:7" x14ac:dyDescent="0.2">
      <c r="E278" s="21"/>
      <c r="F278" s="21"/>
      <c r="G278" s="21"/>
    </row>
    <row r="279" spans="5:7" x14ac:dyDescent="0.2">
      <c r="E279" s="21"/>
      <c r="F279" s="21"/>
      <c r="G279" s="21"/>
    </row>
    <row r="280" spans="5:7" x14ac:dyDescent="0.2">
      <c r="E280" s="21"/>
      <c r="F280" s="21"/>
      <c r="G280" s="21"/>
    </row>
    <row r="281" spans="5:7" x14ac:dyDescent="0.2">
      <c r="E281" s="21"/>
      <c r="F281" s="21"/>
      <c r="G281" s="21"/>
    </row>
    <row r="282" spans="5:7" x14ac:dyDescent="0.2">
      <c r="E282" s="21"/>
      <c r="F282" s="21"/>
      <c r="G282" s="21"/>
    </row>
    <row r="283" spans="5:7" x14ac:dyDescent="0.2">
      <c r="E283" s="21"/>
      <c r="F283" s="21"/>
      <c r="G283" s="21"/>
    </row>
    <row r="284" spans="5:7" x14ac:dyDescent="0.2">
      <c r="E284" s="21"/>
      <c r="F284" s="21"/>
      <c r="G284" s="21"/>
    </row>
    <row r="285" spans="5:7" x14ac:dyDescent="0.2">
      <c r="E285" s="21"/>
      <c r="F285" s="21"/>
      <c r="G285" s="21"/>
    </row>
    <row r="286" spans="5:7" x14ac:dyDescent="0.2">
      <c r="E286" s="21"/>
      <c r="F286" s="21"/>
      <c r="G286" s="21"/>
    </row>
    <row r="287" spans="5:7" x14ac:dyDescent="0.2">
      <c r="E287" s="21"/>
      <c r="F287" s="21"/>
      <c r="G287" s="21"/>
    </row>
    <row r="288" spans="5:7" x14ac:dyDescent="0.2">
      <c r="E288" s="21"/>
      <c r="F288" s="21"/>
      <c r="G288" s="21"/>
    </row>
    <row r="289" spans="5:7" x14ac:dyDescent="0.2">
      <c r="E289" s="21"/>
      <c r="F289" s="21"/>
      <c r="G289" s="21"/>
    </row>
    <row r="290" spans="5:7" x14ac:dyDescent="0.2">
      <c r="E290" s="21"/>
      <c r="F290" s="21"/>
      <c r="G290" s="21"/>
    </row>
    <row r="291" spans="5:7" x14ac:dyDescent="0.2">
      <c r="E291" s="21"/>
      <c r="F291" s="21"/>
      <c r="G291" s="21"/>
    </row>
    <row r="292" spans="5:7" x14ac:dyDescent="0.2">
      <c r="E292" s="21"/>
      <c r="F292" s="21"/>
      <c r="G292" s="21"/>
    </row>
    <row r="293" spans="5:7" x14ac:dyDescent="0.2">
      <c r="E293" s="21"/>
      <c r="F293" s="21"/>
      <c r="G293" s="21"/>
    </row>
    <row r="294" spans="5:7" x14ac:dyDescent="0.2">
      <c r="E294" s="21"/>
      <c r="F294" s="21"/>
      <c r="G294" s="21"/>
    </row>
    <row r="295" spans="5:7" x14ac:dyDescent="0.2">
      <c r="E295" s="21"/>
      <c r="F295" s="21"/>
      <c r="G295" s="21"/>
    </row>
    <row r="296" spans="5:7" x14ac:dyDescent="0.2">
      <c r="E296" s="21"/>
      <c r="F296" s="21"/>
      <c r="G296" s="21"/>
    </row>
    <row r="297" spans="5:7" x14ac:dyDescent="0.2">
      <c r="E297" s="21"/>
      <c r="F297" s="21"/>
      <c r="G297" s="21"/>
    </row>
    <row r="298" spans="5:7" x14ac:dyDescent="0.2">
      <c r="E298" s="21"/>
      <c r="F298" s="21"/>
      <c r="G298" s="21"/>
    </row>
    <row r="299" spans="5:7" x14ac:dyDescent="0.2">
      <c r="E299" s="21"/>
      <c r="F299" s="21"/>
      <c r="G299" s="21"/>
    </row>
    <row r="300" spans="5:7" x14ac:dyDescent="0.2">
      <c r="E300" s="21"/>
      <c r="F300" s="21"/>
      <c r="G300" s="21"/>
    </row>
    <row r="301" spans="5:7" x14ac:dyDescent="0.2">
      <c r="E301" s="21"/>
      <c r="F301" s="21"/>
      <c r="G301" s="21"/>
    </row>
    <row r="302" spans="5:7" x14ac:dyDescent="0.2">
      <c r="E302" s="21"/>
      <c r="F302" s="21"/>
      <c r="G302" s="21"/>
    </row>
    <row r="303" spans="5:7" x14ac:dyDescent="0.2">
      <c r="E303" s="21"/>
      <c r="F303" s="21"/>
      <c r="G303" s="21"/>
    </row>
    <row r="304" spans="5:7" x14ac:dyDescent="0.2">
      <c r="E304" s="21"/>
      <c r="F304" s="21"/>
      <c r="G304" s="21"/>
    </row>
    <row r="305" spans="5:7" x14ac:dyDescent="0.2">
      <c r="E305" s="21"/>
      <c r="F305" s="21"/>
      <c r="G305" s="21"/>
    </row>
    <row r="306" spans="5:7" x14ac:dyDescent="0.2">
      <c r="E306" s="21"/>
      <c r="F306" s="21"/>
      <c r="G306" s="21"/>
    </row>
    <row r="307" spans="5:7" x14ac:dyDescent="0.2">
      <c r="E307" s="21"/>
      <c r="F307" s="21"/>
      <c r="G307" s="21"/>
    </row>
    <row r="308" spans="5:7" x14ac:dyDescent="0.2">
      <c r="E308" s="21"/>
      <c r="F308" s="21"/>
      <c r="G308" s="21"/>
    </row>
    <row r="309" spans="5:7" x14ac:dyDescent="0.2">
      <c r="E309" s="21"/>
      <c r="F309" s="21"/>
      <c r="G309" s="21"/>
    </row>
    <row r="310" spans="5:7" x14ac:dyDescent="0.2">
      <c r="E310" s="21"/>
      <c r="F310" s="21"/>
      <c r="G310" s="21"/>
    </row>
    <row r="311" spans="5:7" x14ac:dyDescent="0.2">
      <c r="E311" s="21"/>
      <c r="F311" s="21"/>
      <c r="G311" s="21"/>
    </row>
    <row r="312" spans="5:7" x14ac:dyDescent="0.2">
      <c r="E312" s="21"/>
      <c r="F312" s="21"/>
      <c r="G312" s="21"/>
    </row>
    <row r="313" spans="5:7" x14ac:dyDescent="0.2">
      <c r="E313" s="21"/>
      <c r="F313" s="21"/>
      <c r="G313" s="21"/>
    </row>
    <row r="314" spans="5:7" x14ac:dyDescent="0.2">
      <c r="E314" s="21"/>
      <c r="F314" s="21"/>
      <c r="G314" s="21"/>
    </row>
    <row r="315" spans="5:7" x14ac:dyDescent="0.2">
      <c r="E315" s="21"/>
      <c r="F315" s="21"/>
      <c r="G315" s="21"/>
    </row>
    <row r="316" spans="5:7" x14ac:dyDescent="0.2">
      <c r="E316" s="21"/>
      <c r="F316" s="21"/>
      <c r="G316" s="21"/>
    </row>
    <row r="317" spans="5:7" x14ac:dyDescent="0.2">
      <c r="E317" s="21"/>
      <c r="F317" s="21"/>
      <c r="G317" s="21"/>
    </row>
    <row r="318" spans="5:7" x14ac:dyDescent="0.2">
      <c r="E318" s="21"/>
      <c r="F318" s="21"/>
      <c r="G318" s="21"/>
    </row>
    <row r="319" spans="5:7" x14ac:dyDescent="0.2">
      <c r="E319" s="21"/>
      <c r="F319" s="21"/>
      <c r="G319" s="21"/>
    </row>
    <row r="320" spans="5:7" x14ac:dyDescent="0.2">
      <c r="E320" s="21"/>
      <c r="F320" s="21"/>
      <c r="G320" s="21"/>
    </row>
    <row r="321" spans="5:7" x14ac:dyDescent="0.2">
      <c r="E321" s="21"/>
      <c r="F321" s="21"/>
      <c r="G321" s="21"/>
    </row>
    <row r="322" spans="5:7" x14ac:dyDescent="0.2">
      <c r="E322" s="21"/>
      <c r="F322" s="21"/>
      <c r="G322" s="21"/>
    </row>
    <row r="323" spans="5:7" x14ac:dyDescent="0.2">
      <c r="E323" s="21"/>
      <c r="F323" s="21"/>
      <c r="G323" s="21"/>
    </row>
    <row r="324" spans="5:7" x14ac:dyDescent="0.2">
      <c r="E324" s="21"/>
      <c r="F324" s="21"/>
      <c r="G324" s="21"/>
    </row>
    <row r="325" spans="5:7" x14ac:dyDescent="0.2">
      <c r="E325" s="21"/>
      <c r="F325" s="21"/>
      <c r="G325" s="21"/>
    </row>
    <row r="326" spans="5:7" x14ac:dyDescent="0.2">
      <c r="E326" s="21"/>
      <c r="F326" s="21"/>
      <c r="G326" s="21"/>
    </row>
    <row r="327" spans="5:7" x14ac:dyDescent="0.2">
      <c r="E327" s="21"/>
      <c r="F327" s="21"/>
      <c r="G327" s="21"/>
    </row>
    <row r="328" spans="5:7" x14ac:dyDescent="0.2">
      <c r="E328" s="21"/>
      <c r="F328" s="21"/>
      <c r="G328" s="21"/>
    </row>
    <row r="329" spans="5:7" x14ac:dyDescent="0.2">
      <c r="E329" s="21"/>
      <c r="F329" s="21"/>
      <c r="G329" s="21"/>
    </row>
    <row r="330" spans="5:7" x14ac:dyDescent="0.2">
      <c r="E330" s="21"/>
      <c r="F330" s="21"/>
      <c r="G330" s="21"/>
    </row>
    <row r="331" spans="5:7" x14ac:dyDescent="0.2">
      <c r="E331" s="21"/>
      <c r="F331" s="21"/>
      <c r="G331" s="21"/>
    </row>
    <row r="332" spans="5:7" x14ac:dyDescent="0.2">
      <c r="E332" s="21"/>
      <c r="F332" s="21"/>
      <c r="G332" s="21"/>
    </row>
    <row r="333" spans="5:7" x14ac:dyDescent="0.2">
      <c r="E333" s="21"/>
      <c r="F333" s="21"/>
      <c r="G333" s="21"/>
    </row>
    <row r="334" spans="5:7" x14ac:dyDescent="0.2">
      <c r="E334" s="21"/>
      <c r="F334" s="21"/>
      <c r="G334" s="21"/>
    </row>
    <row r="335" spans="5:7" x14ac:dyDescent="0.2">
      <c r="E335" s="21"/>
      <c r="F335" s="21"/>
      <c r="G335" s="21"/>
    </row>
    <row r="336" spans="5:7" x14ac:dyDescent="0.2">
      <c r="E336" s="21"/>
      <c r="F336" s="21"/>
      <c r="G336" s="21"/>
    </row>
    <row r="337" spans="5:7" x14ac:dyDescent="0.2">
      <c r="E337" s="21"/>
      <c r="F337" s="21"/>
      <c r="G337" s="21"/>
    </row>
    <row r="338" spans="5:7" x14ac:dyDescent="0.2">
      <c r="E338" s="21"/>
      <c r="F338" s="21"/>
      <c r="G338" s="21"/>
    </row>
    <row r="339" spans="5:7" x14ac:dyDescent="0.2">
      <c r="E339" s="21"/>
      <c r="F339" s="21"/>
      <c r="G339" s="21"/>
    </row>
    <row r="340" spans="5:7" x14ac:dyDescent="0.2">
      <c r="E340" s="21"/>
      <c r="F340" s="21"/>
      <c r="G340" s="21"/>
    </row>
    <row r="341" spans="5:7" x14ac:dyDescent="0.2">
      <c r="E341" s="21"/>
      <c r="F341" s="21"/>
      <c r="G341" s="21"/>
    </row>
    <row r="342" spans="5:7" x14ac:dyDescent="0.2">
      <c r="E342" s="21"/>
      <c r="F342" s="21"/>
      <c r="G342" s="21"/>
    </row>
    <row r="343" spans="5:7" x14ac:dyDescent="0.2">
      <c r="E343" s="21"/>
      <c r="F343" s="21"/>
      <c r="G343" s="21"/>
    </row>
    <row r="344" spans="5:7" x14ac:dyDescent="0.2">
      <c r="E344" s="21"/>
      <c r="F344" s="21"/>
      <c r="G344" s="21"/>
    </row>
    <row r="345" spans="5:7" x14ac:dyDescent="0.2">
      <c r="E345" s="21"/>
      <c r="F345" s="21"/>
      <c r="G345" s="21"/>
    </row>
    <row r="346" spans="5:7" x14ac:dyDescent="0.2">
      <c r="E346" s="21"/>
      <c r="F346" s="21"/>
      <c r="G346" s="21"/>
    </row>
    <row r="347" spans="5:7" x14ac:dyDescent="0.2">
      <c r="E347" s="21"/>
      <c r="F347" s="21"/>
      <c r="G347" s="21"/>
    </row>
    <row r="348" spans="5:7" x14ac:dyDescent="0.2">
      <c r="E348" s="21"/>
      <c r="F348" s="21"/>
      <c r="G348" s="21"/>
    </row>
    <row r="349" spans="5:7" x14ac:dyDescent="0.2">
      <c r="E349" s="21"/>
      <c r="F349" s="21"/>
      <c r="G349" s="21"/>
    </row>
    <row r="350" spans="5:7" x14ac:dyDescent="0.2">
      <c r="E350" s="21"/>
      <c r="F350" s="21"/>
      <c r="G350" s="21"/>
    </row>
    <row r="351" spans="5:7" x14ac:dyDescent="0.2">
      <c r="E351" s="21"/>
      <c r="F351" s="21"/>
      <c r="G351" s="21"/>
    </row>
    <row r="352" spans="5:7" x14ac:dyDescent="0.2">
      <c r="E352" s="21"/>
      <c r="F352" s="21"/>
      <c r="G352" s="21"/>
    </row>
    <row r="353" spans="5:7" x14ac:dyDescent="0.2">
      <c r="E353" s="21"/>
      <c r="F353" s="21"/>
      <c r="G353" s="21"/>
    </row>
    <row r="354" spans="5:7" x14ac:dyDescent="0.2">
      <c r="E354" s="21"/>
      <c r="F354" s="21"/>
      <c r="G354" s="21"/>
    </row>
    <row r="355" spans="5:7" x14ac:dyDescent="0.2">
      <c r="E355" s="21"/>
      <c r="F355" s="21"/>
      <c r="G355" s="21"/>
    </row>
    <row r="356" spans="5:7" x14ac:dyDescent="0.2">
      <c r="E356" s="21"/>
      <c r="F356" s="21"/>
      <c r="G356" s="21"/>
    </row>
  </sheetData>
  <sheetProtection sheet="1" objects="1" scenarios="1" selectLockedCells="1"/>
  <mergeCells count="61">
    <mergeCell ref="G154:M154"/>
    <mergeCell ref="C32:F32"/>
    <mergeCell ref="G32:H32"/>
    <mergeCell ref="C33:F33"/>
    <mergeCell ref="G33:H33"/>
    <mergeCell ref="G34:H34"/>
    <mergeCell ref="K36:T36"/>
    <mergeCell ref="C108:E108"/>
    <mergeCell ref="G142:M142"/>
    <mergeCell ref="G147:M147"/>
    <mergeCell ref="G148:M148"/>
    <mergeCell ref="G153:M153"/>
    <mergeCell ref="C29:F29"/>
    <mergeCell ref="G29:H29"/>
    <mergeCell ref="C30:F30"/>
    <mergeCell ref="G30:H30"/>
    <mergeCell ref="C31:F31"/>
    <mergeCell ref="G31:H31"/>
    <mergeCell ref="C26:F26"/>
    <mergeCell ref="G26:H26"/>
    <mergeCell ref="C27:F27"/>
    <mergeCell ref="G27:H27"/>
    <mergeCell ref="C28:F28"/>
    <mergeCell ref="G28:H28"/>
    <mergeCell ref="C23:F23"/>
    <mergeCell ref="G23:H23"/>
    <mergeCell ref="C24:F24"/>
    <mergeCell ref="G24:H24"/>
    <mergeCell ref="C25:F25"/>
    <mergeCell ref="G25:H25"/>
    <mergeCell ref="C20:F20"/>
    <mergeCell ref="G20:H20"/>
    <mergeCell ref="C21:F21"/>
    <mergeCell ref="G21:H21"/>
    <mergeCell ref="C22:F22"/>
    <mergeCell ref="G22:H22"/>
    <mergeCell ref="C17:F17"/>
    <mergeCell ref="G17:H17"/>
    <mergeCell ref="C18:F18"/>
    <mergeCell ref="G18:H18"/>
    <mergeCell ref="C19:F19"/>
    <mergeCell ref="G19:H19"/>
    <mergeCell ref="C14:F14"/>
    <mergeCell ref="G14:H14"/>
    <mergeCell ref="C15:F15"/>
    <mergeCell ref="G15:H15"/>
    <mergeCell ref="C16:F16"/>
    <mergeCell ref="G16:H16"/>
    <mergeCell ref="C11:F11"/>
    <mergeCell ref="G11:H11"/>
    <mergeCell ref="C12:F12"/>
    <mergeCell ref="G12:H12"/>
    <mergeCell ref="C13:F13"/>
    <mergeCell ref="G13:H13"/>
    <mergeCell ref="B8:H10"/>
    <mergeCell ref="AB8:AC8"/>
    <mergeCell ref="AB1:AC1"/>
    <mergeCell ref="AB2:AC2"/>
    <mergeCell ref="AB3:AC3"/>
    <mergeCell ref="AB4:AC4"/>
    <mergeCell ref="AB5:AC5"/>
  </mergeCells>
  <pageMargins left="0.78740157499999996" right="0.78740157499999996" top="0.984251969" bottom="0.984251969" header="0.4921259845" footer="0.4921259845"/>
  <pageSetup paperSize="9" scale="8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lection">
                <anchor moveWithCells="1" sizeWithCells="1">
                  <from>
                    <xdr:col>1</xdr:col>
                    <xdr:colOff>19050</xdr:colOff>
                    <xdr:row>33</xdr:row>
                    <xdr:rowOff>104775</xdr:rowOff>
                  </from>
                  <to>
                    <xdr:col>7</xdr:col>
                    <xdr:colOff>714375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er_etiquette">
                <anchor>
                  <from>
                    <xdr:col>5</xdr:col>
                    <xdr:colOff>600075</xdr:colOff>
                    <xdr:row>40</xdr:row>
                    <xdr:rowOff>0</xdr:rowOff>
                  </from>
                  <to>
                    <xdr:col>7</xdr:col>
                    <xdr:colOff>542925</xdr:colOff>
                    <xdr:row>43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lanning">
                <anchor moveWithCells="1" sizeWithCells="1">
                  <from>
                    <xdr:col>2</xdr:col>
                    <xdr:colOff>590550</xdr:colOff>
                    <xdr:row>39</xdr:row>
                    <xdr:rowOff>152400</xdr:rowOff>
                  </from>
                  <to>
                    <xdr:col>5</xdr:col>
                    <xdr:colOff>419100</xdr:colOff>
                    <xdr:row>43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indexed="10"/>
  </sheetPr>
  <dimension ref="B1:O117"/>
  <sheetViews>
    <sheetView topLeftCell="E1" workbookViewId="0">
      <selection activeCell="F40" sqref="F40"/>
    </sheetView>
  </sheetViews>
  <sheetFormatPr baseColWidth="10" defaultRowHeight="12.75" x14ac:dyDescent="0.2"/>
  <cols>
    <col min="4" max="4" width="40.85546875" customWidth="1"/>
    <col min="5" max="5" width="21.5703125" bestFit="1" customWidth="1"/>
    <col min="10" max="10" width="34.42578125" bestFit="1" customWidth="1"/>
  </cols>
  <sheetData>
    <row r="1" spans="2:13" x14ac:dyDescent="0.2">
      <c r="C1" s="37"/>
      <c r="D1" s="37" t="s">
        <v>19</v>
      </c>
      <c r="E1" s="37"/>
      <c r="F1" s="37"/>
      <c r="I1" t="s">
        <v>20</v>
      </c>
    </row>
    <row r="2" spans="2:13" ht="13.5" customHeight="1" x14ac:dyDescent="0.2">
      <c r="C2" s="30"/>
      <c r="D2" s="30"/>
      <c r="E2" s="30" t="s">
        <v>21</v>
      </c>
      <c r="F2" s="31" t="s">
        <v>22</v>
      </c>
      <c r="G2" s="30"/>
      <c r="H2" s="30"/>
      <c r="I2" s="30"/>
      <c r="J2" s="30">
        <v>23</v>
      </c>
      <c r="K2" s="30"/>
      <c r="L2" s="30"/>
      <c r="M2" s="30"/>
    </row>
    <row r="3" spans="2:13" ht="13.5" customHeight="1" x14ac:dyDescent="0.25">
      <c r="B3" s="32"/>
      <c r="C3" s="33">
        <v>1000</v>
      </c>
      <c r="D3" s="33" t="s">
        <v>23</v>
      </c>
      <c r="E3" s="30" t="s">
        <v>166</v>
      </c>
      <c r="F3" s="34" t="s">
        <v>24</v>
      </c>
      <c r="G3" s="30"/>
      <c r="H3" s="30"/>
      <c r="I3" s="30">
        <v>1000</v>
      </c>
      <c r="J3" s="30" t="s">
        <v>23</v>
      </c>
      <c r="K3" s="30"/>
      <c r="L3" s="30"/>
      <c r="M3" s="30"/>
    </row>
    <row r="4" spans="2:13" ht="13.5" customHeight="1" x14ac:dyDescent="0.25">
      <c r="B4" s="32"/>
      <c r="C4" s="33">
        <v>1001</v>
      </c>
      <c r="D4" s="33" t="s">
        <v>25</v>
      </c>
      <c r="E4" s="30" t="s">
        <v>26</v>
      </c>
      <c r="F4" s="34" t="s">
        <v>27</v>
      </c>
      <c r="G4" s="30"/>
      <c r="H4" s="30"/>
      <c r="I4" s="30">
        <v>1001</v>
      </c>
      <c r="J4" s="30" t="s">
        <v>25</v>
      </c>
      <c r="K4" s="30"/>
      <c r="L4" s="30"/>
      <c r="M4" s="30"/>
    </row>
    <row r="5" spans="2:13" ht="13.5" customHeight="1" x14ac:dyDescent="0.25">
      <c r="B5" s="32"/>
      <c r="C5" s="33">
        <v>1002</v>
      </c>
      <c r="D5" s="33" t="s">
        <v>28</v>
      </c>
      <c r="E5" s="30" t="s">
        <v>29</v>
      </c>
      <c r="F5" s="34" t="s">
        <v>30</v>
      </c>
      <c r="G5" s="30"/>
      <c r="H5" s="30"/>
      <c r="I5" s="30">
        <v>1002</v>
      </c>
      <c r="J5" s="30" t="s">
        <v>28</v>
      </c>
      <c r="K5" s="30"/>
      <c r="L5" s="30"/>
      <c r="M5" s="30"/>
    </row>
    <row r="6" spans="2:13" ht="13.5" customHeight="1" x14ac:dyDescent="0.25">
      <c r="B6" s="32"/>
      <c r="C6" s="33">
        <v>1003</v>
      </c>
      <c r="D6" s="33" t="s">
        <v>31</v>
      </c>
      <c r="E6" s="30" t="s">
        <v>32</v>
      </c>
      <c r="F6" s="34" t="s">
        <v>33</v>
      </c>
      <c r="G6" s="30"/>
      <c r="H6" s="30"/>
      <c r="I6" s="30">
        <v>1003</v>
      </c>
      <c r="J6" s="30" t="s">
        <v>31</v>
      </c>
      <c r="K6" s="30"/>
      <c r="L6" s="30"/>
      <c r="M6" s="30"/>
    </row>
    <row r="7" spans="2:13" ht="13.5" customHeight="1" x14ac:dyDescent="0.25">
      <c r="B7" s="32"/>
      <c r="C7" s="33">
        <v>1004</v>
      </c>
      <c r="D7" s="33" t="s">
        <v>34</v>
      </c>
      <c r="E7" s="30" t="s">
        <v>32</v>
      </c>
      <c r="F7" s="34" t="s">
        <v>35</v>
      </c>
      <c r="G7" s="30"/>
      <c r="H7" s="30"/>
      <c r="I7" s="30">
        <v>1004</v>
      </c>
      <c r="J7" s="30" t="s">
        <v>34</v>
      </c>
      <c r="K7" s="30"/>
      <c r="L7" s="30"/>
      <c r="M7" s="30"/>
    </row>
    <row r="8" spans="2:13" ht="13.5" customHeight="1" x14ac:dyDescent="0.25">
      <c r="B8" s="32"/>
      <c r="C8" s="33">
        <v>1005</v>
      </c>
      <c r="D8" s="33" t="s">
        <v>36</v>
      </c>
      <c r="E8" s="30" t="s">
        <v>32</v>
      </c>
      <c r="F8" s="34" t="s">
        <v>37</v>
      </c>
      <c r="G8" s="30"/>
      <c r="H8" s="30"/>
      <c r="I8" s="30">
        <v>1005</v>
      </c>
      <c r="J8" s="30" t="s">
        <v>36</v>
      </c>
      <c r="K8" s="30"/>
      <c r="L8" s="30"/>
      <c r="M8" s="30"/>
    </row>
    <row r="9" spans="2:13" ht="13.5" customHeight="1" x14ac:dyDescent="0.25">
      <c r="B9" s="32"/>
      <c r="C9" s="33">
        <v>1006</v>
      </c>
      <c r="D9" s="33" t="s">
        <v>38</v>
      </c>
      <c r="E9" s="30" t="s">
        <v>26</v>
      </c>
      <c r="F9" s="34" t="s">
        <v>39</v>
      </c>
      <c r="G9" s="30"/>
      <c r="H9" s="30"/>
      <c r="I9" s="30">
        <v>1006</v>
      </c>
      <c r="J9" s="30" t="s">
        <v>38</v>
      </c>
      <c r="K9" s="30"/>
      <c r="L9" s="30"/>
      <c r="M9" s="30"/>
    </row>
    <row r="10" spans="2:13" ht="13.5" customHeight="1" x14ac:dyDescent="0.25">
      <c r="B10" s="32"/>
      <c r="C10" s="33">
        <v>1007</v>
      </c>
      <c r="D10" s="33" t="s">
        <v>40</v>
      </c>
      <c r="E10" s="30" t="s">
        <v>26</v>
      </c>
      <c r="F10" s="34" t="s">
        <v>41</v>
      </c>
      <c r="G10" s="30"/>
      <c r="H10" s="30"/>
      <c r="I10" s="30">
        <v>1007</v>
      </c>
      <c r="J10" s="30" t="s">
        <v>40</v>
      </c>
      <c r="K10" s="30"/>
      <c r="L10" s="30"/>
      <c r="M10" s="30"/>
    </row>
    <row r="11" spans="2:13" ht="13.5" customHeight="1" x14ac:dyDescent="0.25">
      <c r="B11" s="32"/>
      <c r="C11" s="33">
        <v>1008</v>
      </c>
      <c r="D11" s="33" t="s">
        <v>42</v>
      </c>
      <c r="E11" s="30" t="s">
        <v>165</v>
      </c>
      <c r="F11" s="34" t="s">
        <v>43</v>
      </c>
      <c r="G11" s="30"/>
      <c r="H11" s="30"/>
      <c r="I11" s="30">
        <v>1008</v>
      </c>
      <c r="J11" s="30" t="s">
        <v>42</v>
      </c>
      <c r="K11" s="30"/>
      <c r="L11" s="30"/>
      <c r="M11" s="30"/>
    </row>
    <row r="12" spans="2:13" ht="13.5" customHeight="1" x14ac:dyDescent="0.25">
      <c r="B12" s="32"/>
      <c r="C12" s="33">
        <v>1009</v>
      </c>
      <c r="D12" s="33" t="s">
        <v>44</v>
      </c>
      <c r="E12" s="30" t="s">
        <v>32</v>
      </c>
      <c r="F12" s="34" t="s">
        <v>45</v>
      </c>
      <c r="G12" s="30"/>
      <c r="H12" s="30"/>
      <c r="I12" s="30">
        <v>1009</v>
      </c>
      <c r="J12" s="30" t="s">
        <v>44</v>
      </c>
      <c r="K12" s="30"/>
      <c r="L12" s="30"/>
      <c r="M12" s="30"/>
    </row>
    <row r="13" spans="2:13" ht="13.5" customHeight="1" x14ac:dyDescent="0.25">
      <c r="B13" s="32"/>
      <c r="C13" s="33">
        <v>1010</v>
      </c>
      <c r="D13" s="33" t="s">
        <v>46</v>
      </c>
      <c r="E13" s="30" t="s">
        <v>32</v>
      </c>
      <c r="F13" s="34" t="s">
        <v>47</v>
      </c>
      <c r="G13" s="30"/>
      <c r="H13" s="30"/>
      <c r="I13" s="30">
        <v>1010</v>
      </c>
      <c r="J13" s="30" t="s">
        <v>46</v>
      </c>
      <c r="K13" s="30"/>
      <c r="L13" s="30"/>
      <c r="M13" s="30"/>
    </row>
    <row r="14" spans="2:13" ht="13.5" customHeight="1" x14ac:dyDescent="0.25">
      <c r="B14" s="32"/>
      <c r="C14" s="33">
        <v>1011</v>
      </c>
      <c r="D14" s="33" t="s">
        <v>48</v>
      </c>
      <c r="E14" s="30" t="s">
        <v>32</v>
      </c>
      <c r="F14" s="34" t="s">
        <v>49</v>
      </c>
      <c r="G14" s="30"/>
      <c r="H14" s="30"/>
      <c r="I14" s="30">
        <v>1011</v>
      </c>
      <c r="J14" s="30" t="s">
        <v>48</v>
      </c>
      <c r="K14" s="30"/>
      <c r="L14" s="30"/>
      <c r="M14" s="30"/>
    </row>
    <row r="15" spans="2:13" ht="13.5" customHeight="1" x14ac:dyDescent="0.25">
      <c r="B15" s="32"/>
      <c r="C15" s="33">
        <v>1012</v>
      </c>
      <c r="D15" s="33" t="s">
        <v>50</v>
      </c>
      <c r="E15" s="30" t="s">
        <v>32</v>
      </c>
      <c r="F15" s="34" t="s">
        <v>51</v>
      </c>
      <c r="G15" s="30"/>
      <c r="H15" s="30"/>
      <c r="I15" s="30">
        <v>1012</v>
      </c>
      <c r="J15" s="30" t="s">
        <v>50</v>
      </c>
      <c r="K15" s="30"/>
      <c r="L15" s="30"/>
      <c r="M15" s="30"/>
    </row>
    <row r="16" spans="2:13" ht="13.5" customHeight="1" x14ac:dyDescent="0.25">
      <c r="B16" s="32"/>
      <c r="C16" s="33">
        <v>1013</v>
      </c>
      <c r="D16" s="33" t="s">
        <v>52</v>
      </c>
      <c r="E16" s="30" t="s">
        <v>32</v>
      </c>
      <c r="F16" s="34" t="s">
        <v>53</v>
      </c>
      <c r="G16" s="30"/>
      <c r="H16" s="30"/>
      <c r="I16" s="30">
        <v>1013</v>
      </c>
      <c r="J16" s="30" t="s">
        <v>52</v>
      </c>
      <c r="K16" s="30"/>
      <c r="L16" s="30"/>
      <c r="M16" s="30"/>
    </row>
    <row r="17" spans="2:13" ht="13.5" customHeight="1" x14ac:dyDescent="0.25">
      <c r="B17" s="32"/>
      <c r="C17" s="33">
        <v>1014</v>
      </c>
      <c r="D17" s="33" t="s">
        <v>54</v>
      </c>
      <c r="E17" s="30">
        <v>15</v>
      </c>
      <c r="F17" s="34" t="s">
        <v>55</v>
      </c>
      <c r="G17" s="30"/>
      <c r="H17" s="30"/>
      <c r="I17" s="30">
        <v>1014</v>
      </c>
      <c r="J17" s="30" t="s">
        <v>54</v>
      </c>
      <c r="K17" s="30"/>
      <c r="L17" s="30"/>
      <c r="M17" s="30"/>
    </row>
    <row r="18" spans="2:13" ht="13.5" customHeight="1" x14ac:dyDescent="0.25">
      <c r="B18" s="32"/>
      <c r="C18" s="33">
        <v>1015</v>
      </c>
      <c r="D18" s="33" t="s">
        <v>56</v>
      </c>
      <c r="E18" s="30" t="s">
        <v>57</v>
      </c>
      <c r="F18" s="34" t="s">
        <v>58</v>
      </c>
      <c r="G18" s="30"/>
      <c r="H18" s="30"/>
      <c r="I18" s="30">
        <v>1015</v>
      </c>
      <c r="J18" s="30" t="s">
        <v>56</v>
      </c>
      <c r="K18" s="30"/>
      <c r="L18" s="30"/>
      <c r="M18" s="30"/>
    </row>
    <row r="19" spans="2:13" ht="13.5" customHeight="1" x14ac:dyDescent="0.25">
      <c r="B19" s="32"/>
      <c r="C19" s="33">
        <v>1016</v>
      </c>
      <c r="D19" s="33" t="s">
        <v>59</v>
      </c>
      <c r="E19" s="30" t="s">
        <v>60</v>
      </c>
      <c r="F19" s="34" t="s">
        <v>61</v>
      </c>
      <c r="G19" s="30"/>
      <c r="H19" s="30"/>
      <c r="I19" s="30">
        <v>1016</v>
      </c>
      <c r="J19" s="33" t="s">
        <v>59</v>
      </c>
      <c r="K19" s="30"/>
      <c r="L19" s="30"/>
      <c r="M19" s="30"/>
    </row>
    <row r="20" spans="2:13" ht="13.5" customHeight="1" x14ac:dyDescent="0.25">
      <c r="B20" s="32"/>
      <c r="C20" s="33">
        <v>1017</v>
      </c>
      <c r="D20" s="33" t="s">
        <v>62</v>
      </c>
      <c r="E20" s="30" t="s">
        <v>63</v>
      </c>
      <c r="F20" s="34" t="s">
        <v>64</v>
      </c>
      <c r="G20" s="30"/>
      <c r="H20" s="30"/>
      <c r="I20" s="30">
        <v>1017</v>
      </c>
      <c r="J20" s="30" t="s">
        <v>65</v>
      </c>
      <c r="K20" s="30"/>
      <c r="L20" s="30"/>
      <c r="M20" s="30"/>
    </row>
    <row r="21" spans="2:13" ht="13.5" customHeight="1" x14ac:dyDescent="0.25">
      <c r="B21" s="32"/>
      <c r="C21" s="33">
        <v>1018</v>
      </c>
      <c r="D21" s="33" t="s">
        <v>66</v>
      </c>
      <c r="E21" s="30" t="s">
        <v>67</v>
      </c>
      <c r="F21" s="34" t="s">
        <v>68</v>
      </c>
      <c r="G21" s="30"/>
      <c r="H21" s="30"/>
      <c r="I21" s="30">
        <v>1018</v>
      </c>
      <c r="J21" s="30" t="s">
        <v>69</v>
      </c>
      <c r="K21" s="30"/>
      <c r="L21" s="30"/>
      <c r="M21" s="30"/>
    </row>
    <row r="22" spans="2:13" ht="13.5" customHeight="1" x14ac:dyDescent="0.25">
      <c r="B22" s="32"/>
      <c r="C22" s="33">
        <v>1019</v>
      </c>
      <c r="D22" s="35" t="s">
        <v>70</v>
      </c>
      <c r="E22" s="30" t="s">
        <v>71</v>
      </c>
      <c r="F22" s="34">
        <v>2022325</v>
      </c>
      <c r="G22" s="30"/>
      <c r="H22" s="30"/>
      <c r="I22" s="30">
        <v>1019</v>
      </c>
      <c r="J22" s="30" t="s">
        <v>72</v>
      </c>
      <c r="K22" s="30"/>
      <c r="L22" s="30"/>
      <c r="M22" s="30"/>
    </row>
    <row r="23" spans="2:13" ht="13.5" customHeight="1" x14ac:dyDescent="0.25">
      <c r="B23" s="36"/>
      <c r="C23" s="33">
        <v>2001</v>
      </c>
      <c r="D23" s="33" t="s">
        <v>73</v>
      </c>
      <c r="E23" s="30" t="s">
        <v>74</v>
      </c>
      <c r="F23" s="30">
        <v>70208</v>
      </c>
      <c r="G23" s="30"/>
      <c r="H23" s="30"/>
      <c r="I23" s="30">
        <v>2001</v>
      </c>
      <c r="J23" s="30" t="s">
        <v>75</v>
      </c>
      <c r="K23" s="30"/>
      <c r="L23" s="30"/>
      <c r="M23" s="30"/>
    </row>
    <row r="24" spans="2:13" ht="13.5" customHeight="1" x14ac:dyDescent="0.25">
      <c r="B24" s="37"/>
      <c r="C24" s="33">
        <v>2002</v>
      </c>
      <c r="D24" s="33" t="s">
        <v>76</v>
      </c>
      <c r="E24" s="30" t="s">
        <v>77</v>
      </c>
      <c r="F24" s="30" t="s">
        <v>78</v>
      </c>
      <c r="G24" s="30"/>
      <c r="H24" s="30"/>
      <c r="I24" s="30">
        <v>2002</v>
      </c>
      <c r="J24" s="30" t="s">
        <v>76</v>
      </c>
      <c r="K24" s="30"/>
      <c r="L24" s="30"/>
      <c r="M24" s="30"/>
    </row>
    <row r="25" spans="2:13" ht="13.5" customHeight="1" x14ac:dyDescent="0.25">
      <c r="B25" s="37"/>
      <c r="C25" s="33">
        <v>2003</v>
      </c>
      <c r="D25" s="33" t="s">
        <v>79</v>
      </c>
      <c r="E25" s="30" t="s">
        <v>80</v>
      </c>
      <c r="F25" s="30" t="s">
        <v>81</v>
      </c>
      <c r="G25" s="30"/>
      <c r="H25" s="30"/>
      <c r="I25" s="30">
        <v>2003</v>
      </c>
      <c r="J25" s="30" t="s">
        <v>82</v>
      </c>
      <c r="K25" s="30"/>
      <c r="L25" s="30"/>
      <c r="M25" s="30"/>
    </row>
    <row r="26" spans="2:13" ht="13.5" customHeight="1" x14ac:dyDescent="0.25">
      <c r="B26" s="37"/>
      <c r="C26" s="33">
        <v>2004</v>
      </c>
      <c r="D26" s="33" t="s">
        <v>83</v>
      </c>
      <c r="E26" s="30" t="s">
        <v>80</v>
      </c>
      <c r="F26" s="30" t="s">
        <v>81</v>
      </c>
      <c r="G26" s="30"/>
      <c r="H26" s="30"/>
      <c r="I26" s="30">
        <v>2004</v>
      </c>
      <c r="J26" s="30" t="s">
        <v>84</v>
      </c>
      <c r="K26" s="30"/>
      <c r="L26" s="30"/>
      <c r="M26" s="30"/>
    </row>
    <row r="27" spans="2:13" ht="13.5" customHeight="1" x14ac:dyDescent="0.25">
      <c r="B27" s="37"/>
      <c r="C27" s="33">
        <v>2005</v>
      </c>
      <c r="D27" s="33" t="s">
        <v>85</v>
      </c>
      <c r="E27" s="30" t="s">
        <v>86</v>
      </c>
      <c r="F27" s="30" t="s">
        <v>78</v>
      </c>
      <c r="G27" s="30"/>
      <c r="H27" s="30"/>
      <c r="I27" s="30">
        <v>2005</v>
      </c>
      <c r="J27" s="30" t="s">
        <v>87</v>
      </c>
      <c r="K27" s="30"/>
      <c r="L27" s="30"/>
      <c r="M27" s="30"/>
    </row>
    <row r="28" spans="2:13" ht="13.5" customHeight="1" x14ac:dyDescent="0.25">
      <c r="B28" s="37"/>
      <c r="C28" s="33">
        <v>2006</v>
      </c>
      <c r="D28" s="35" t="s">
        <v>88</v>
      </c>
      <c r="E28" s="30" t="s">
        <v>32</v>
      </c>
      <c r="F28" s="30" t="s">
        <v>78</v>
      </c>
      <c r="G28" s="30"/>
      <c r="H28" s="30"/>
      <c r="I28" s="30">
        <v>2006</v>
      </c>
      <c r="J28" s="30" t="s">
        <v>88</v>
      </c>
      <c r="K28" s="30"/>
      <c r="L28" s="30"/>
      <c r="M28" s="30"/>
    </row>
    <row r="29" spans="2:13" ht="13.5" customHeight="1" x14ac:dyDescent="0.25">
      <c r="B29" s="37"/>
      <c r="C29" s="33">
        <v>2007</v>
      </c>
      <c r="D29" s="33" t="s">
        <v>89</v>
      </c>
      <c r="E29" s="30" t="s">
        <v>32</v>
      </c>
      <c r="F29" s="30">
        <v>70332</v>
      </c>
      <c r="G29" s="30"/>
      <c r="H29" s="30"/>
      <c r="I29" s="30">
        <v>2007</v>
      </c>
      <c r="J29" s="30" t="s">
        <v>90</v>
      </c>
      <c r="K29" s="30"/>
      <c r="L29" s="30"/>
      <c r="M29" s="30"/>
    </row>
    <row r="30" spans="2:13" ht="13.5" customHeight="1" x14ac:dyDescent="0.25">
      <c r="B30" s="37"/>
      <c r="C30" s="33">
        <v>2008</v>
      </c>
      <c r="D30" s="33" t="s">
        <v>91</v>
      </c>
      <c r="E30" s="30" t="s">
        <v>29</v>
      </c>
      <c r="F30" s="30">
        <v>70725</v>
      </c>
      <c r="G30" s="30"/>
      <c r="H30" s="30"/>
      <c r="I30" s="30">
        <v>2008</v>
      </c>
      <c r="J30" s="30" t="s">
        <v>92</v>
      </c>
      <c r="K30" s="30"/>
      <c r="L30" s="30"/>
      <c r="M30" s="30"/>
    </row>
    <row r="31" spans="2:13" ht="13.5" customHeight="1" x14ac:dyDescent="0.25">
      <c r="B31" s="37"/>
      <c r="C31" s="33">
        <v>2009</v>
      </c>
      <c r="D31" s="33" t="s">
        <v>93</v>
      </c>
      <c r="E31" s="30" t="s">
        <v>29</v>
      </c>
      <c r="F31" s="30">
        <v>70727</v>
      </c>
      <c r="G31" s="30"/>
      <c r="H31" s="30"/>
      <c r="I31" s="30">
        <v>2009</v>
      </c>
      <c r="J31" s="30" t="s">
        <v>94</v>
      </c>
      <c r="K31" s="30"/>
      <c r="L31" s="30"/>
      <c r="M31" s="30"/>
    </row>
    <row r="32" spans="2:13" ht="13.5" customHeight="1" x14ac:dyDescent="0.25">
      <c r="B32" s="37"/>
      <c r="C32" s="33">
        <v>2010</v>
      </c>
      <c r="D32" s="33" t="s">
        <v>95</v>
      </c>
      <c r="E32" s="30" t="s">
        <v>29</v>
      </c>
      <c r="F32" s="30">
        <v>70728</v>
      </c>
      <c r="G32" s="30"/>
      <c r="H32" s="30"/>
      <c r="I32" s="30">
        <v>2010</v>
      </c>
      <c r="J32" s="30" t="s">
        <v>96</v>
      </c>
      <c r="K32" s="30"/>
      <c r="L32" s="30"/>
      <c r="M32" s="30"/>
    </row>
    <row r="33" spans="2:13" ht="13.5" customHeight="1" x14ac:dyDescent="0.25">
      <c r="B33" s="37"/>
      <c r="C33" s="33">
        <v>2011</v>
      </c>
      <c r="D33" s="33" t="s">
        <v>97</v>
      </c>
      <c r="E33" s="30" t="s">
        <v>98</v>
      </c>
      <c r="F33" s="30">
        <v>70207</v>
      </c>
      <c r="G33" s="30"/>
      <c r="H33" s="30"/>
      <c r="I33" s="30">
        <v>2011</v>
      </c>
      <c r="J33" s="30" t="s">
        <v>99</v>
      </c>
      <c r="K33" s="30"/>
      <c r="L33" s="30"/>
      <c r="M33" s="30"/>
    </row>
    <row r="34" spans="2:13" ht="13.5" customHeight="1" x14ac:dyDescent="0.25">
      <c r="B34" s="37"/>
      <c r="C34" s="33">
        <v>2012</v>
      </c>
      <c r="D34" s="33" t="s">
        <v>100</v>
      </c>
      <c r="E34" s="30" t="s">
        <v>101</v>
      </c>
      <c r="F34" s="30" t="s">
        <v>78</v>
      </c>
      <c r="G34" s="30"/>
      <c r="H34" s="30"/>
      <c r="I34" s="30">
        <v>2012</v>
      </c>
      <c r="J34" s="30" t="s">
        <v>102</v>
      </c>
      <c r="K34" s="30"/>
      <c r="L34" s="30"/>
      <c r="M34" s="30"/>
    </row>
    <row r="35" spans="2:13" ht="13.5" customHeight="1" x14ac:dyDescent="0.25">
      <c r="B35" s="37"/>
      <c r="C35" s="33">
        <v>2013</v>
      </c>
      <c r="D35" s="33" t="s">
        <v>103</v>
      </c>
      <c r="E35" s="30" t="s">
        <v>104</v>
      </c>
      <c r="F35" s="30">
        <v>70740</v>
      </c>
      <c r="G35" s="30"/>
      <c r="H35" s="30"/>
      <c r="I35" s="30">
        <v>2013</v>
      </c>
      <c r="J35" s="30" t="s">
        <v>105</v>
      </c>
      <c r="K35" s="30"/>
      <c r="L35" s="30"/>
      <c r="M35" s="30"/>
    </row>
    <row r="36" spans="2:13" ht="13.5" customHeight="1" x14ac:dyDescent="0.25">
      <c r="B36" s="37"/>
      <c r="C36" s="33">
        <v>2014</v>
      </c>
      <c r="D36" s="33" t="s">
        <v>106</v>
      </c>
      <c r="E36" s="30" t="s">
        <v>104</v>
      </c>
      <c r="F36" s="30">
        <v>70741</v>
      </c>
      <c r="G36" s="30"/>
      <c r="H36" s="30"/>
      <c r="I36" s="30">
        <v>2014</v>
      </c>
      <c r="J36" s="30" t="s">
        <v>107</v>
      </c>
      <c r="K36" s="30"/>
      <c r="L36" s="30"/>
      <c r="M36" s="30"/>
    </row>
    <row r="37" spans="2:13" ht="13.5" customHeight="1" x14ac:dyDescent="0.25">
      <c r="B37" s="37"/>
      <c r="C37" s="33">
        <v>2015</v>
      </c>
      <c r="D37" s="33" t="s">
        <v>108</v>
      </c>
      <c r="E37" s="30" t="s">
        <v>109</v>
      </c>
      <c r="F37" s="30">
        <v>70738</v>
      </c>
      <c r="G37" s="30"/>
      <c r="H37" s="30"/>
      <c r="I37" s="30">
        <v>2015</v>
      </c>
      <c r="J37" s="30" t="s">
        <v>110</v>
      </c>
      <c r="K37" s="30"/>
      <c r="L37" s="30"/>
      <c r="M37" s="30"/>
    </row>
    <row r="38" spans="2:13" ht="13.5" customHeight="1" x14ac:dyDescent="0.25">
      <c r="B38" s="37"/>
      <c r="C38" s="33">
        <v>2016</v>
      </c>
      <c r="D38" s="33" t="s">
        <v>111</v>
      </c>
      <c r="E38" s="30" t="s">
        <v>109</v>
      </c>
      <c r="F38" s="30">
        <v>70738</v>
      </c>
      <c r="G38" s="30"/>
      <c r="H38" s="30"/>
      <c r="I38" s="30">
        <v>2016</v>
      </c>
      <c r="J38" s="30" t="s">
        <v>112</v>
      </c>
      <c r="K38" s="30"/>
      <c r="L38" s="30"/>
      <c r="M38" s="30"/>
    </row>
    <row r="39" spans="2:13" ht="13.5" customHeight="1" x14ac:dyDescent="0.25">
      <c r="B39" s="37"/>
      <c r="C39" s="33">
        <v>2017</v>
      </c>
      <c r="D39" s="33" t="s">
        <v>113</v>
      </c>
      <c r="E39" s="30" t="s">
        <v>114</v>
      </c>
      <c r="F39" s="30">
        <v>70738</v>
      </c>
      <c r="G39" s="30"/>
      <c r="H39" s="30"/>
      <c r="I39" s="30">
        <v>2017</v>
      </c>
      <c r="J39" s="30" t="s">
        <v>115</v>
      </c>
      <c r="K39" s="30"/>
      <c r="L39" s="30"/>
      <c r="M39" s="30"/>
    </row>
    <row r="40" spans="2:13" ht="13.5" customHeight="1" x14ac:dyDescent="0.25">
      <c r="B40" s="37"/>
      <c r="C40" s="33">
        <v>2018</v>
      </c>
      <c r="D40" s="33" t="s">
        <v>116</v>
      </c>
      <c r="E40" s="30" t="s">
        <v>109</v>
      </c>
      <c r="F40" s="30">
        <v>70738</v>
      </c>
      <c r="G40" s="30"/>
      <c r="H40" s="30"/>
      <c r="I40" s="30">
        <v>2018</v>
      </c>
      <c r="J40" s="30" t="s">
        <v>117</v>
      </c>
      <c r="K40" s="30"/>
      <c r="L40" s="30"/>
      <c r="M40" s="30"/>
    </row>
    <row r="41" spans="2:13" ht="13.5" customHeight="1" x14ac:dyDescent="0.25">
      <c r="B41" s="37"/>
      <c r="C41" s="33">
        <v>2019</v>
      </c>
      <c r="D41" s="33" t="s">
        <v>118</v>
      </c>
      <c r="E41" s="30" t="s">
        <v>109</v>
      </c>
      <c r="F41" s="30">
        <v>70738</v>
      </c>
      <c r="G41" s="30"/>
      <c r="H41" s="30"/>
      <c r="I41" s="30">
        <v>2019</v>
      </c>
      <c r="J41" s="30" t="s">
        <v>119</v>
      </c>
      <c r="K41" s="30"/>
      <c r="L41" s="30"/>
      <c r="M41" s="30"/>
    </row>
    <row r="42" spans="2:13" ht="13.5" customHeight="1" x14ac:dyDescent="0.25">
      <c r="B42" s="37"/>
      <c r="C42" s="33">
        <v>2020</v>
      </c>
      <c r="D42" s="33" t="s">
        <v>120</v>
      </c>
      <c r="E42" s="30" t="s">
        <v>109</v>
      </c>
      <c r="F42" s="30">
        <v>70738</v>
      </c>
      <c r="G42" s="30"/>
      <c r="H42" s="30"/>
      <c r="I42" s="30">
        <v>2020</v>
      </c>
      <c r="J42" s="30" t="s">
        <v>121</v>
      </c>
      <c r="K42" s="30"/>
      <c r="L42" s="30"/>
      <c r="M42" s="30"/>
    </row>
    <row r="43" spans="2:13" ht="13.5" customHeight="1" x14ac:dyDescent="0.25">
      <c r="B43" s="37"/>
      <c r="C43" s="33">
        <v>2021</v>
      </c>
      <c r="D43" s="33" t="s">
        <v>122</v>
      </c>
      <c r="E43" s="30" t="s">
        <v>109</v>
      </c>
      <c r="F43" s="30">
        <v>70738</v>
      </c>
      <c r="G43" s="30"/>
      <c r="H43" s="30"/>
      <c r="I43" s="30">
        <v>2021</v>
      </c>
      <c r="J43" s="30" t="s">
        <v>123</v>
      </c>
      <c r="K43" s="30"/>
      <c r="L43" s="30"/>
      <c r="M43" s="30"/>
    </row>
    <row r="44" spans="2:13" ht="13.5" customHeight="1" x14ac:dyDescent="0.25">
      <c r="B44" s="37"/>
      <c r="C44" s="33">
        <v>2022</v>
      </c>
      <c r="D44" s="33" t="s">
        <v>124</v>
      </c>
      <c r="E44" s="30" t="s">
        <v>109</v>
      </c>
      <c r="F44" s="30">
        <v>70738</v>
      </c>
      <c r="G44" s="30"/>
      <c r="H44" s="30"/>
      <c r="I44" s="30">
        <v>2022</v>
      </c>
      <c r="J44" s="30" t="s">
        <v>125</v>
      </c>
      <c r="K44" s="30"/>
      <c r="L44" s="30"/>
      <c r="M44" s="30"/>
    </row>
    <row r="45" spans="2:13" ht="13.5" customHeight="1" x14ac:dyDescent="0.25">
      <c r="B45" s="37"/>
      <c r="C45" s="33">
        <v>2023</v>
      </c>
      <c r="D45" s="33" t="s">
        <v>126</v>
      </c>
      <c r="E45" s="30" t="s">
        <v>109</v>
      </c>
      <c r="F45" s="30">
        <v>70738</v>
      </c>
      <c r="G45" s="30"/>
      <c r="H45" s="30"/>
      <c r="I45" s="30">
        <v>2023</v>
      </c>
      <c r="J45" s="30" t="s">
        <v>127</v>
      </c>
      <c r="K45" s="30"/>
      <c r="L45" s="30"/>
      <c r="M45" s="30"/>
    </row>
    <row r="46" spans="2:13" ht="13.5" customHeight="1" x14ac:dyDescent="0.25">
      <c r="B46" s="37"/>
      <c r="C46" s="33">
        <f>C45+1</f>
        <v>2024</v>
      </c>
      <c r="D46" s="33" t="s">
        <v>128</v>
      </c>
      <c r="E46" s="30" t="s">
        <v>129</v>
      </c>
      <c r="F46" s="30" t="s">
        <v>78</v>
      </c>
      <c r="G46" s="30"/>
      <c r="H46" s="30"/>
      <c r="I46" s="30">
        <v>2024</v>
      </c>
      <c r="J46" s="30" t="s">
        <v>130</v>
      </c>
      <c r="K46" s="30"/>
      <c r="L46" s="30"/>
      <c r="M46" s="30"/>
    </row>
    <row r="47" spans="2:13" ht="13.5" customHeight="1" x14ac:dyDescent="0.25">
      <c r="B47" s="37"/>
      <c r="C47" s="33">
        <f>C46+1</f>
        <v>2025</v>
      </c>
      <c r="D47" s="33" t="s">
        <v>131</v>
      </c>
      <c r="E47" s="30" t="s">
        <v>29</v>
      </c>
      <c r="F47" s="30" t="s">
        <v>78</v>
      </c>
      <c r="G47" s="30"/>
      <c r="H47" s="30"/>
      <c r="I47" s="30">
        <v>2025</v>
      </c>
      <c r="J47" s="30"/>
      <c r="K47" s="30"/>
      <c r="L47" s="30"/>
      <c r="M47" s="30"/>
    </row>
    <row r="48" spans="2:13" ht="13.5" customHeight="1" x14ac:dyDescent="0.25">
      <c r="C48" s="38">
        <v>3001</v>
      </c>
      <c r="D48" s="38" t="s">
        <v>132</v>
      </c>
      <c r="E48" s="30" t="s">
        <v>133</v>
      </c>
      <c r="F48" s="30" t="s">
        <v>78</v>
      </c>
      <c r="G48" s="30"/>
      <c r="H48" s="30"/>
      <c r="I48" s="30">
        <v>3001</v>
      </c>
      <c r="J48" s="30" t="s">
        <v>134</v>
      </c>
      <c r="K48" s="30"/>
      <c r="L48" s="30"/>
      <c r="M48" s="30"/>
    </row>
    <row r="49" spans="2:13" ht="13.5" customHeight="1" x14ac:dyDescent="0.25">
      <c r="C49" s="38">
        <v>3002</v>
      </c>
      <c r="D49" s="38" t="s">
        <v>135</v>
      </c>
      <c r="E49" s="30" t="s">
        <v>86</v>
      </c>
      <c r="F49" s="30" t="s">
        <v>78</v>
      </c>
      <c r="G49" s="30"/>
      <c r="H49" s="30"/>
      <c r="I49" s="30">
        <v>3002</v>
      </c>
      <c r="J49" s="30" t="s">
        <v>136</v>
      </c>
      <c r="K49" s="30"/>
      <c r="L49" s="30"/>
      <c r="M49" s="30"/>
    </row>
    <row r="50" spans="2:13" ht="13.5" customHeight="1" x14ac:dyDescent="0.25">
      <c r="C50" s="38">
        <v>3003</v>
      </c>
      <c r="D50" s="38" t="s">
        <v>137</v>
      </c>
      <c r="E50" s="30" t="s">
        <v>138</v>
      </c>
      <c r="F50" s="30" t="s">
        <v>78</v>
      </c>
      <c r="G50" s="30"/>
      <c r="H50" s="30"/>
      <c r="I50" s="30">
        <v>3003</v>
      </c>
      <c r="J50" s="30" t="s">
        <v>139</v>
      </c>
      <c r="K50" s="30"/>
      <c r="L50" s="30"/>
      <c r="M50" s="30"/>
    </row>
    <row r="51" spans="2:13" ht="15.75" x14ac:dyDescent="0.25">
      <c r="C51" s="38">
        <v>3004</v>
      </c>
      <c r="D51" s="39" t="s">
        <v>140</v>
      </c>
      <c r="E51" s="39" t="s">
        <v>67</v>
      </c>
      <c r="F51" s="30" t="s">
        <v>78</v>
      </c>
      <c r="G51" s="30"/>
      <c r="H51" s="30"/>
      <c r="I51" s="30">
        <v>3004</v>
      </c>
      <c r="J51" s="30" t="s">
        <v>140</v>
      </c>
      <c r="K51" s="30"/>
      <c r="L51" s="30"/>
      <c r="M51" s="30"/>
    </row>
    <row r="52" spans="2:13" ht="13.5" customHeight="1" x14ac:dyDescent="0.25">
      <c r="B52" s="40"/>
      <c r="C52" s="41">
        <v>3005</v>
      </c>
      <c r="D52" s="38" t="s">
        <v>141</v>
      </c>
      <c r="E52" s="42" t="s">
        <v>142</v>
      </c>
      <c r="F52" s="43">
        <v>70760</v>
      </c>
      <c r="G52" s="43"/>
      <c r="H52" s="43"/>
      <c r="I52" s="43">
        <v>3005</v>
      </c>
      <c r="J52" s="43" t="s">
        <v>143</v>
      </c>
      <c r="K52" s="44"/>
      <c r="L52" s="30"/>
      <c r="M52" s="30"/>
    </row>
    <row r="53" spans="2:13" ht="13.5" customHeight="1" x14ac:dyDescent="0.25">
      <c r="C53" s="38">
        <v>3006</v>
      </c>
      <c r="D53" s="33" t="s">
        <v>144</v>
      </c>
      <c r="E53" s="45" t="s">
        <v>145</v>
      </c>
      <c r="F53" s="30">
        <v>70765</v>
      </c>
      <c r="G53" s="30"/>
      <c r="H53" s="30"/>
      <c r="I53" s="30">
        <v>3006</v>
      </c>
      <c r="J53" s="31" t="s">
        <v>146</v>
      </c>
      <c r="K53" s="30"/>
      <c r="L53" s="30"/>
      <c r="M53" s="30"/>
    </row>
    <row r="54" spans="2:13" x14ac:dyDescent="0.2">
      <c r="C54" s="39"/>
      <c r="D54" s="39"/>
      <c r="E54" s="30"/>
      <c r="F54" s="30"/>
      <c r="G54" s="30"/>
      <c r="H54" s="30"/>
      <c r="I54" s="30"/>
      <c r="J54" s="30"/>
      <c r="K54" s="30"/>
      <c r="L54" s="30"/>
      <c r="M54" s="30"/>
    </row>
    <row r="55" spans="2:13" x14ac:dyDescent="0.2">
      <c r="C55" s="39"/>
      <c r="D55" s="39"/>
      <c r="E55" s="30"/>
      <c r="F55" s="30"/>
      <c r="G55" s="30"/>
      <c r="H55" s="30"/>
      <c r="I55" s="30"/>
      <c r="J55" s="30"/>
      <c r="K55" s="30"/>
      <c r="L55" s="30"/>
      <c r="M55" s="30"/>
    </row>
    <row r="56" spans="2:13" x14ac:dyDescent="0.2">
      <c r="C56" s="39"/>
      <c r="D56" s="39"/>
      <c r="E56" s="30"/>
      <c r="F56" s="30"/>
      <c r="G56" s="30"/>
      <c r="H56" s="30"/>
      <c r="I56" s="30"/>
      <c r="J56" s="30"/>
      <c r="K56" s="30"/>
      <c r="L56" s="30"/>
      <c r="M56" s="30"/>
    </row>
    <row r="57" spans="2:13" x14ac:dyDescent="0.2">
      <c r="C57" s="39"/>
      <c r="D57" s="39"/>
      <c r="E57" s="30"/>
      <c r="F57" s="30"/>
      <c r="G57" s="30"/>
      <c r="H57" s="30"/>
      <c r="I57" s="30"/>
      <c r="J57" s="30"/>
      <c r="K57" s="30"/>
      <c r="L57" s="30"/>
      <c r="M57" s="30"/>
    </row>
    <row r="58" spans="2:13" x14ac:dyDescent="0.2">
      <c r="C58" s="39"/>
      <c r="D58" s="39"/>
      <c r="E58" s="30"/>
      <c r="F58" s="30"/>
      <c r="G58" s="30"/>
      <c r="H58" s="30"/>
      <c r="I58" s="30"/>
      <c r="J58" s="30"/>
      <c r="K58" s="30"/>
      <c r="L58" s="30"/>
      <c r="M58" s="30"/>
    </row>
    <row r="59" spans="2:13" x14ac:dyDescent="0.2">
      <c r="C59" s="39"/>
      <c r="D59" s="39"/>
      <c r="E59" s="30"/>
      <c r="F59" s="30"/>
      <c r="G59" s="30"/>
      <c r="H59" s="30"/>
      <c r="I59" s="30"/>
      <c r="J59" s="30"/>
      <c r="K59" s="30"/>
      <c r="L59" s="30"/>
      <c r="M59" s="30"/>
    </row>
    <row r="60" spans="2:13" x14ac:dyDescent="0.2">
      <c r="C60" s="39"/>
      <c r="D60" s="39"/>
      <c r="E60" s="30"/>
      <c r="F60" s="30"/>
      <c r="G60" s="30"/>
      <c r="H60" s="30"/>
      <c r="I60" s="30"/>
      <c r="J60" s="30"/>
      <c r="K60" s="30"/>
      <c r="L60" s="30"/>
      <c r="M60" s="30"/>
    </row>
    <row r="61" spans="2:13" x14ac:dyDescent="0.2">
      <c r="C61" s="39"/>
      <c r="D61" s="39"/>
      <c r="E61" s="30"/>
      <c r="F61" s="30"/>
      <c r="G61" s="30"/>
      <c r="H61" s="30"/>
      <c r="I61" s="30"/>
      <c r="J61" s="30"/>
      <c r="K61" s="30"/>
      <c r="L61" s="30"/>
      <c r="M61" s="30"/>
    </row>
    <row r="62" spans="2:13" x14ac:dyDescent="0.2">
      <c r="C62" s="39"/>
      <c r="D62" s="39"/>
      <c r="E62" s="30"/>
      <c r="F62" s="30"/>
      <c r="G62" s="30"/>
      <c r="H62" s="30"/>
      <c r="I62" s="30"/>
      <c r="J62" s="30"/>
      <c r="K62" s="30"/>
      <c r="L62" s="30"/>
      <c r="M62" s="30"/>
    </row>
    <row r="63" spans="2:13" x14ac:dyDescent="0.2">
      <c r="C63" s="39"/>
      <c r="D63" s="39"/>
      <c r="E63" s="30"/>
      <c r="F63" s="30"/>
      <c r="G63" s="30"/>
      <c r="H63" s="30"/>
      <c r="I63" s="30"/>
      <c r="J63" s="30"/>
      <c r="K63" s="30"/>
      <c r="L63" s="30"/>
      <c r="M63" s="30"/>
    </row>
    <row r="64" spans="2:13" x14ac:dyDescent="0.2">
      <c r="C64" s="39"/>
      <c r="D64" s="39"/>
      <c r="E64" s="30"/>
      <c r="F64" s="30"/>
      <c r="G64" s="30"/>
      <c r="H64" s="30"/>
      <c r="I64" s="30"/>
      <c r="J64" s="30"/>
      <c r="K64" s="30"/>
      <c r="L64" s="30"/>
      <c r="M64" s="30"/>
    </row>
    <row r="65" spans="3:13" x14ac:dyDescent="0.2">
      <c r="C65" s="39"/>
      <c r="D65" s="39"/>
      <c r="E65" s="30"/>
      <c r="F65" s="30"/>
      <c r="G65" s="30"/>
      <c r="H65" s="30"/>
      <c r="I65" s="30"/>
      <c r="J65" s="30"/>
      <c r="K65" s="30"/>
      <c r="L65" s="30"/>
      <c r="M65" s="30"/>
    </row>
    <row r="66" spans="3:13" x14ac:dyDescent="0.2">
      <c r="C66" s="39"/>
      <c r="D66" s="39"/>
      <c r="E66" s="30"/>
      <c r="F66" s="30"/>
      <c r="G66" s="30"/>
      <c r="H66" s="30"/>
      <c r="I66" s="30"/>
      <c r="J66" s="30"/>
      <c r="K66" s="30"/>
      <c r="L66" s="30"/>
      <c r="M66" s="30"/>
    </row>
    <row r="67" spans="3:13" x14ac:dyDescent="0.2">
      <c r="C67" s="39"/>
      <c r="D67" s="39"/>
      <c r="E67" s="30"/>
      <c r="F67" s="30"/>
      <c r="G67" s="30"/>
      <c r="H67" s="30"/>
      <c r="I67" s="30"/>
      <c r="J67" s="30"/>
      <c r="K67" s="30"/>
      <c r="L67" s="30"/>
      <c r="M67" s="30"/>
    </row>
    <row r="68" spans="3:13" x14ac:dyDescent="0.2">
      <c r="C68" s="39"/>
      <c r="D68" s="39"/>
      <c r="E68" s="30"/>
      <c r="F68" s="30"/>
      <c r="G68" s="30"/>
      <c r="H68" s="30"/>
      <c r="I68" s="30"/>
      <c r="J68" s="30"/>
      <c r="K68" s="30"/>
      <c r="L68" s="30"/>
      <c r="M68" s="30"/>
    </row>
    <row r="69" spans="3:13" x14ac:dyDescent="0.2">
      <c r="C69" s="39"/>
      <c r="D69" s="39"/>
      <c r="E69" s="30"/>
      <c r="F69" s="30"/>
      <c r="G69" s="30"/>
      <c r="H69" s="30"/>
      <c r="I69" s="30"/>
      <c r="J69" s="30"/>
      <c r="K69" s="30"/>
      <c r="L69" s="30"/>
      <c r="M69" s="30"/>
    </row>
    <row r="70" spans="3:13" x14ac:dyDescent="0.2">
      <c r="C70" s="39"/>
      <c r="D70" s="39"/>
      <c r="E70" s="30"/>
      <c r="F70" s="30"/>
      <c r="G70" s="30"/>
      <c r="H70" s="30"/>
      <c r="I70" s="30"/>
      <c r="J70" s="30"/>
      <c r="K70" s="30"/>
      <c r="L70" s="30"/>
      <c r="M70" s="30"/>
    </row>
    <row r="71" spans="3:13" x14ac:dyDescent="0.2">
      <c r="C71" s="39"/>
      <c r="D71" s="39"/>
      <c r="E71" s="30"/>
      <c r="F71" s="30"/>
      <c r="G71" s="30"/>
      <c r="H71" s="30"/>
      <c r="I71" s="30"/>
      <c r="J71" s="30"/>
      <c r="K71" s="30"/>
      <c r="L71" s="30"/>
      <c r="M71" s="30"/>
    </row>
    <row r="72" spans="3:13" x14ac:dyDescent="0.2">
      <c r="C72" s="39"/>
      <c r="D72" s="39"/>
      <c r="E72" s="30"/>
      <c r="F72" s="30"/>
      <c r="G72" s="30"/>
      <c r="H72" s="30"/>
      <c r="I72" s="30"/>
      <c r="J72" s="30"/>
      <c r="K72" s="30"/>
      <c r="L72" s="30"/>
      <c r="M72" s="30"/>
    </row>
    <row r="73" spans="3:13" x14ac:dyDescent="0.2">
      <c r="C73" s="39"/>
      <c r="D73" s="39"/>
      <c r="E73" s="30"/>
      <c r="F73" s="30"/>
      <c r="G73" s="30"/>
      <c r="H73" s="30"/>
      <c r="I73" s="30"/>
      <c r="J73" s="30"/>
      <c r="K73" s="30"/>
      <c r="L73" s="30"/>
      <c r="M73" s="30"/>
    </row>
    <row r="74" spans="3:13" x14ac:dyDescent="0.2">
      <c r="C74" s="39"/>
      <c r="D74" s="39"/>
      <c r="E74" s="30"/>
      <c r="F74" s="30"/>
      <c r="G74" s="30"/>
      <c r="H74" s="30"/>
      <c r="I74" s="30"/>
      <c r="J74" s="30"/>
      <c r="K74" s="30"/>
      <c r="L74" s="30"/>
      <c r="M74" s="30"/>
    </row>
    <row r="75" spans="3:13" x14ac:dyDescent="0.2"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</row>
    <row r="76" spans="3:13" x14ac:dyDescent="0.2"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</row>
    <row r="77" spans="3:13" x14ac:dyDescent="0.2"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</row>
    <row r="78" spans="3:13" x14ac:dyDescent="0.2"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</row>
    <row r="79" spans="3:13" x14ac:dyDescent="0.2"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</row>
    <row r="80" spans="3:13" x14ac:dyDescent="0.2"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</row>
    <row r="81" spans="3:15" x14ac:dyDescent="0.2"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</row>
    <row r="82" spans="3:15" x14ac:dyDescent="0.2"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</row>
    <row r="83" spans="3:15" x14ac:dyDescent="0.2"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</row>
    <row r="84" spans="3:15" x14ac:dyDescent="0.2"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</row>
    <row r="85" spans="3:15" x14ac:dyDescent="0.2"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</row>
    <row r="86" spans="3:15" x14ac:dyDescent="0.2"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</row>
    <row r="87" spans="3:15" x14ac:dyDescent="0.2"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</row>
    <row r="88" spans="3:15" x14ac:dyDescent="0.2"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</row>
    <row r="89" spans="3:15" x14ac:dyDescent="0.2"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</row>
    <row r="90" spans="3:15" x14ac:dyDescent="0.2"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</row>
    <row r="91" spans="3:15" x14ac:dyDescent="0.2"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</row>
    <row r="92" spans="3:15" x14ac:dyDescent="0.2"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</row>
    <row r="93" spans="3:15" x14ac:dyDescent="0.2"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</row>
    <row r="94" spans="3:15" x14ac:dyDescent="0.2"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</row>
    <row r="95" spans="3:15" x14ac:dyDescent="0.2">
      <c r="C95" s="30"/>
      <c r="D95" s="30"/>
      <c r="E95" s="30"/>
      <c r="F95" s="30"/>
      <c r="G95" s="39"/>
      <c r="H95" s="39"/>
      <c r="I95" s="39"/>
      <c r="J95" s="39"/>
      <c r="K95" s="39"/>
      <c r="L95" s="39"/>
      <c r="M95" s="39"/>
      <c r="N95" s="46"/>
      <c r="O95" s="46"/>
    </row>
    <row r="96" spans="3:15" x14ac:dyDescent="0.2">
      <c r="C96" s="30"/>
      <c r="D96" s="30"/>
      <c r="E96" s="30"/>
      <c r="F96" s="30"/>
      <c r="G96" s="39"/>
      <c r="H96" s="39"/>
      <c r="I96" s="39"/>
      <c r="J96" s="39"/>
      <c r="K96" s="39"/>
      <c r="L96" s="39"/>
      <c r="M96" s="39"/>
      <c r="N96" s="46"/>
      <c r="O96" s="46"/>
    </row>
    <row r="97" spans="3:15" x14ac:dyDescent="0.2">
      <c r="C97" s="30"/>
      <c r="D97" s="30"/>
      <c r="E97" s="30"/>
      <c r="F97" s="30"/>
      <c r="G97" s="39"/>
      <c r="H97" s="39"/>
      <c r="I97" s="39"/>
      <c r="J97" s="39"/>
      <c r="K97" s="39"/>
      <c r="L97" s="39"/>
      <c r="M97" s="39"/>
      <c r="N97" s="46"/>
      <c r="O97" s="46"/>
    </row>
    <row r="98" spans="3:15" ht="16.5" x14ac:dyDescent="0.25">
      <c r="C98" s="30"/>
      <c r="D98" s="30"/>
      <c r="E98" s="30"/>
      <c r="F98" s="30"/>
      <c r="G98" s="39"/>
      <c r="H98" s="47"/>
      <c r="I98" s="47"/>
      <c r="J98" s="47"/>
      <c r="K98" s="47"/>
      <c r="L98" s="47"/>
      <c r="M98" s="47"/>
      <c r="N98" s="46"/>
      <c r="O98" s="46"/>
    </row>
    <row r="99" spans="3:15" ht="16.5" x14ac:dyDescent="0.25">
      <c r="C99" s="30"/>
      <c r="D99" s="30"/>
      <c r="E99" s="30"/>
      <c r="F99" s="30"/>
      <c r="G99" s="39"/>
      <c r="H99" s="47"/>
      <c r="I99" s="47"/>
      <c r="J99" s="47"/>
      <c r="K99" s="47"/>
      <c r="L99" s="47"/>
      <c r="M99" s="47"/>
      <c r="N99" s="46"/>
      <c r="O99" s="46"/>
    </row>
    <row r="100" spans="3:15" x14ac:dyDescent="0.2">
      <c r="C100" s="30"/>
      <c r="D100" s="30"/>
      <c r="E100" s="30"/>
      <c r="F100" s="30"/>
      <c r="G100" s="39"/>
      <c r="H100" s="39"/>
      <c r="I100" s="39"/>
      <c r="J100" s="39"/>
      <c r="K100" s="39"/>
      <c r="L100" s="39"/>
      <c r="M100" s="39"/>
      <c r="N100" s="46"/>
      <c r="O100" s="46"/>
    </row>
    <row r="101" spans="3:15" ht="16.5" x14ac:dyDescent="0.25">
      <c r="C101" s="30"/>
      <c r="D101" s="30"/>
      <c r="E101" s="30"/>
      <c r="F101" s="30"/>
      <c r="G101" s="39"/>
      <c r="H101" s="39"/>
      <c r="I101" s="39"/>
      <c r="J101" s="39"/>
      <c r="K101" s="39"/>
      <c r="L101" s="48"/>
      <c r="M101" s="39"/>
      <c r="N101" s="46"/>
      <c r="O101" s="46"/>
    </row>
    <row r="102" spans="3:15" ht="16.5" x14ac:dyDescent="0.25">
      <c r="C102" s="30"/>
      <c r="D102" s="30"/>
      <c r="E102" s="30"/>
      <c r="F102" s="30"/>
      <c r="G102" s="39"/>
      <c r="H102" s="48"/>
      <c r="I102" s="48"/>
      <c r="J102" s="48"/>
      <c r="K102" s="48"/>
      <c r="L102" s="48"/>
      <c r="M102" s="48"/>
      <c r="N102" s="46"/>
      <c r="O102" s="46"/>
    </row>
    <row r="103" spans="3:15" ht="16.5" x14ac:dyDescent="0.25">
      <c r="C103" s="30"/>
      <c r="D103" s="30"/>
      <c r="E103" s="30"/>
      <c r="F103" s="30"/>
      <c r="G103" s="39"/>
      <c r="H103" s="48"/>
      <c r="I103" s="48"/>
      <c r="J103" s="48"/>
      <c r="K103" s="48"/>
      <c r="L103" s="48"/>
      <c r="M103" s="48"/>
      <c r="N103" s="46"/>
      <c r="O103" s="46"/>
    </row>
    <row r="104" spans="3:15" x14ac:dyDescent="0.2">
      <c r="C104" s="30"/>
      <c r="D104" s="30"/>
      <c r="E104" s="30"/>
      <c r="F104" s="30"/>
      <c r="G104" s="39"/>
      <c r="H104" s="39"/>
      <c r="I104" s="39"/>
      <c r="J104" s="39"/>
      <c r="K104" s="39"/>
      <c r="L104" s="39"/>
      <c r="M104" s="39"/>
      <c r="N104" s="46"/>
      <c r="O104" s="46"/>
    </row>
    <row r="105" spans="3:15" ht="16.5" x14ac:dyDescent="0.25">
      <c r="G105" s="46"/>
      <c r="H105" s="46"/>
      <c r="I105" s="46"/>
      <c r="J105" s="46"/>
      <c r="K105" s="46"/>
      <c r="L105" s="49"/>
      <c r="M105" s="46"/>
      <c r="N105" s="46"/>
      <c r="O105" s="46"/>
    </row>
    <row r="106" spans="3:15" ht="16.5" x14ac:dyDescent="0.25">
      <c r="G106" s="46"/>
      <c r="H106" s="47"/>
      <c r="I106" s="47"/>
      <c r="J106" s="47"/>
      <c r="K106" s="47"/>
      <c r="L106" s="47"/>
      <c r="M106" s="47"/>
      <c r="N106" s="46"/>
      <c r="O106" s="46"/>
    </row>
    <row r="107" spans="3:15" ht="16.5" x14ac:dyDescent="0.25">
      <c r="G107" s="46"/>
      <c r="H107" s="47"/>
      <c r="I107" s="47"/>
      <c r="J107" s="47"/>
      <c r="K107" s="47"/>
      <c r="L107" s="47"/>
      <c r="M107" s="47"/>
      <c r="N107" s="46"/>
    </row>
    <row r="108" spans="3:15" x14ac:dyDescent="0.2">
      <c r="G108" s="46"/>
      <c r="H108" s="46"/>
      <c r="I108" s="46"/>
      <c r="J108" s="46"/>
      <c r="K108" s="46"/>
      <c r="L108" s="46"/>
      <c r="M108" s="46"/>
      <c r="N108" s="46"/>
    </row>
    <row r="109" spans="3:15" ht="16.5" x14ac:dyDescent="0.25">
      <c r="G109" s="46"/>
      <c r="H109" s="46"/>
      <c r="I109" s="46"/>
      <c r="J109" s="46"/>
      <c r="K109" s="46"/>
      <c r="L109" s="49"/>
      <c r="M109" s="46"/>
      <c r="N109" s="46"/>
    </row>
    <row r="110" spans="3:15" ht="16.5" x14ac:dyDescent="0.25">
      <c r="G110" s="46"/>
      <c r="H110" s="47"/>
      <c r="I110" s="47"/>
      <c r="J110" s="47"/>
      <c r="K110" s="47"/>
      <c r="L110" s="47"/>
      <c r="M110" s="47"/>
      <c r="N110" s="46"/>
    </row>
    <row r="111" spans="3:15" ht="16.5" x14ac:dyDescent="0.25">
      <c r="G111" s="46"/>
      <c r="H111" s="47"/>
      <c r="I111" s="47"/>
      <c r="J111" s="47"/>
      <c r="K111" s="47"/>
      <c r="L111" s="47"/>
      <c r="M111" s="47"/>
      <c r="N111" s="46"/>
    </row>
    <row r="112" spans="3:15" x14ac:dyDescent="0.2">
      <c r="G112" s="46"/>
      <c r="H112" s="46"/>
      <c r="I112" s="46"/>
      <c r="J112" s="46"/>
      <c r="K112" s="46"/>
      <c r="L112" s="46"/>
      <c r="M112" s="46"/>
      <c r="N112" s="46"/>
    </row>
    <row r="113" spans="7:14" ht="16.5" x14ac:dyDescent="0.25">
      <c r="G113" s="46"/>
      <c r="H113" s="46"/>
      <c r="I113" s="46"/>
      <c r="J113" s="46"/>
      <c r="K113" s="46"/>
      <c r="L113" s="49"/>
      <c r="M113" s="46"/>
      <c r="N113" s="46"/>
    </row>
    <row r="114" spans="7:14" x14ac:dyDescent="0.2">
      <c r="G114" s="46"/>
      <c r="H114" s="46"/>
      <c r="I114" s="46"/>
      <c r="J114" s="46"/>
      <c r="K114" s="46"/>
      <c r="L114" s="46"/>
      <c r="M114" s="46"/>
      <c r="N114" s="46"/>
    </row>
    <row r="115" spans="7:14" x14ac:dyDescent="0.2">
      <c r="G115" s="46"/>
      <c r="H115" s="46"/>
      <c r="I115" s="46"/>
      <c r="J115" s="46"/>
      <c r="K115" s="46"/>
      <c r="L115" s="46"/>
      <c r="M115" s="46"/>
      <c r="N115" s="46"/>
    </row>
    <row r="116" spans="7:14" x14ac:dyDescent="0.2">
      <c r="G116" s="46"/>
      <c r="H116" s="46"/>
      <c r="I116" s="46"/>
      <c r="J116" s="46"/>
      <c r="K116" s="46"/>
      <c r="L116" s="46"/>
      <c r="M116" s="46"/>
      <c r="N116" s="46"/>
    </row>
    <row r="117" spans="7:14" x14ac:dyDescent="0.2">
      <c r="G117" s="46"/>
      <c r="H117" s="46"/>
      <c r="I117" s="46"/>
      <c r="J117" s="46"/>
      <c r="K117" s="46"/>
      <c r="L117" s="46"/>
      <c r="M117" s="46"/>
      <c r="N117" s="46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indexed="10"/>
  </sheetPr>
  <dimension ref="A1:U47"/>
  <sheetViews>
    <sheetView zoomScaleNormal="100" workbookViewId="0">
      <selection activeCell="H11" sqref="H11:N11"/>
    </sheetView>
  </sheetViews>
  <sheetFormatPr baseColWidth="10" defaultRowHeight="12.75" x14ac:dyDescent="0.2"/>
  <cols>
    <col min="1" max="1" width="14.42578125" bestFit="1" customWidth="1"/>
    <col min="8" max="8" width="14.42578125" customWidth="1"/>
    <col min="15" max="15" width="14.42578125" customWidth="1"/>
  </cols>
  <sheetData>
    <row r="1" spans="1:21" x14ac:dyDescent="0.2">
      <c r="G1" s="46"/>
    </row>
    <row r="2" spans="1:21" x14ac:dyDescent="0.2">
      <c r="E2" t="s">
        <v>147</v>
      </c>
      <c r="F2" s="50" t="str">
        <f>REMPLIR!$H$3</f>
        <v>RCH</v>
      </c>
      <c r="L2" t="s">
        <v>147</v>
      </c>
      <c r="M2" s="50" t="str">
        <f>REMPLIR!$H$3</f>
        <v>RCH</v>
      </c>
      <c r="S2" t="s">
        <v>147</v>
      </c>
      <c r="T2" s="50" t="str">
        <f>REMPLIR!$H$3</f>
        <v>RCH</v>
      </c>
    </row>
    <row r="3" spans="1:21" x14ac:dyDescent="0.2">
      <c r="E3" t="s">
        <v>148</v>
      </c>
      <c r="F3" s="50">
        <f ca="1">TODAY()</f>
        <v>43206</v>
      </c>
      <c r="L3" t="s">
        <v>148</v>
      </c>
      <c r="M3" s="50">
        <f ca="1">TODAY()</f>
        <v>43206</v>
      </c>
      <c r="S3" t="s">
        <v>148</v>
      </c>
      <c r="T3" s="50">
        <f ca="1">TODAY()</f>
        <v>43206</v>
      </c>
    </row>
    <row r="4" spans="1:21" x14ac:dyDescent="0.2">
      <c r="G4" s="46"/>
    </row>
    <row r="5" spans="1:21" x14ac:dyDescent="0.2">
      <c r="G5" s="46"/>
    </row>
    <row r="6" spans="1:21" ht="12.75" customHeight="1" x14ac:dyDescent="0.2">
      <c r="B6" s="83" t="s">
        <v>164</v>
      </c>
      <c r="C6" s="83"/>
      <c r="D6" s="83"/>
      <c r="E6" s="83"/>
      <c r="F6" s="83"/>
      <c r="G6" s="46"/>
      <c r="I6" s="83" t="s">
        <v>149</v>
      </c>
      <c r="J6" s="83"/>
      <c r="K6" s="83"/>
      <c r="L6" s="83"/>
      <c r="M6" s="83"/>
      <c r="P6" s="84" t="s">
        <v>150</v>
      </c>
      <c r="Q6" s="85"/>
      <c r="R6" s="85"/>
      <c r="S6" s="85"/>
      <c r="T6" s="85"/>
    </row>
    <row r="7" spans="1:21" x14ac:dyDescent="0.2">
      <c r="B7" s="83"/>
      <c r="C7" s="83"/>
      <c r="D7" s="83"/>
      <c r="E7" s="83"/>
      <c r="F7" s="83"/>
      <c r="G7" s="46"/>
      <c r="I7" s="83"/>
      <c r="J7" s="83"/>
      <c r="K7" s="83"/>
      <c r="L7" s="83"/>
      <c r="M7" s="83"/>
      <c r="P7" s="85"/>
      <c r="Q7" s="85"/>
      <c r="R7" s="85"/>
      <c r="S7" s="85"/>
      <c r="T7" s="85"/>
    </row>
    <row r="8" spans="1:21" x14ac:dyDescent="0.2">
      <c r="B8" s="83"/>
      <c r="C8" s="83"/>
      <c r="D8" s="83"/>
      <c r="E8" s="83"/>
      <c r="F8" s="83"/>
      <c r="G8" s="46"/>
      <c r="I8" s="83"/>
      <c r="J8" s="83"/>
      <c r="K8" s="83"/>
      <c r="L8" s="83"/>
      <c r="M8" s="83"/>
    </row>
    <row r="9" spans="1:21" ht="13.5" thickBot="1" x14ac:dyDescent="0.25">
      <c r="G9" s="46"/>
    </row>
    <row r="10" spans="1:21" ht="13.5" thickBot="1" x14ac:dyDescent="0.25">
      <c r="A10" s="51" t="s">
        <v>151</v>
      </c>
      <c r="B10" s="86" t="s">
        <v>147</v>
      </c>
      <c r="C10" s="86"/>
      <c r="D10" s="86"/>
      <c r="E10" s="86"/>
      <c r="F10" s="87" t="s">
        <v>152</v>
      </c>
      <c r="G10" s="88"/>
      <c r="H10" s="51" t="s">
        <v>151</v>
      </c>
      <c r="I10" s="86" t="s">
        <v>147</v>
      </c>
      <c r="J10" s="86"/>
      <c r="K10" s="86"/>
      <c r="L10" s="86"/>
      <c r="M10" s="87" t="s">
        <v>152</v>
      </c>
      <c r="N10" s="88"/>
      <c r="O10" s="51" t="s">
        <v>151</v>
      </c>
      <c r="P10" s="86" t="s">
        <v>147</v>
      </c>
      <c r="Q10" s="86"/>
      <c r="R10" s="86"/>
      <c r="S10" s="86"/>
      <c r="T10" s="87" t="s">
        <v>152</v>
      </c>
      <c r="U10" s="88"/>
    </row>
    <row r="11" spans="1:21" ht="25.5" customHeight="1" thickBot="1" x14ac:dyDescent="0.25">
      <c r="A11" s="52"/>
      <c r="B11" s="80"/>
      <c r="C11" s="89"/>
      <c r="D11" s="89"/>
      <c r="E11" s="81"/>
      <c r="F11" s="80"/>
      <c r="G11" s="81"/>
      <c r="H11" s="52"/>
      <c r="I11" s="82"/>
      <c r="J11" s="82"/>
      <c r="K11" s="82"/>
      <c r="L11" s="82"/>
      <c r="M11" s="80"/>
      <c r="N11" s="81"/>
      <c r="O11" s="52"/>
      <c r="P11" s="82"/>
      <c r="Q11" s="82"/>
      <c r="R11" s="82"/>
      <c r="S11" s="82"/>
      <c r="T11" s="80"/>
      <c r="U11" s="81"/>
    </row>
    <row r="12" spans="1:21" ht="25.5" customHeight="1" thickBot="1" x14ac:dyDescent="0.25">
      <c r="A12" s="52"/>
      <c r="B12" s="80"/>
      <c r="C12" s="89"/>
      <c r="D12" s="89"/>
      <c r="E12" s="81"/>
      <c r="F12" s="80"/>
      <c r="G12" s="81"/>
      <c r="H12" s="52"/>
      <c r="I12" s="82"/>
      <c r="J12" s="82"/>
      <c r="K12" s="82"/>
      <c r="L12" s="82"/>
      <c r="M12" s="80"/>
      <c r="N12" s="81"/>
      <c r="O12" s="52"/>
      <c r="P12" s="82"/>
      <c r="Q12" s="82"/>
      <c r="R12" s="82"/>
      <c r="S12" s="82"/>
      <c r="T12" s="80"/>
      <c r="U12" s="81"/>
    </row>
    <row r="13" spans="1:21" ht="25.5" customHeight="1" thickBot="1" x14ac:dyDescent="0.25">
      <c r="A13" s="52"/>
      <c r="B13" s="80"/>
      <c r="C13" s="89"/>
      <c r="D13" s="89"/>
      <c r="E13" s="81"/>
      <c r="F13" s="80"/>
      <c r="G13" s="81"/>
      <c r="H13" s="52"/>
      <c r="I13" s="82"/>
      <c r="J13" s="82"/>
      <c r="K13" s="82"/>
      <c r="L13" s="82"/>
      <c r="M13" s="80"/>
      <c r="N13" s="81"/>
      <c r="O13" s="52"/>
      <c r="P13" s="82"/>
      <c r="Q13" s="82"/>
      <c r="R13" s="82"/>
      <c r="S13" s="82"/>
      <c r="T13" s="80"/>
      <c r="U13" s="81"/>
    </row>
    <row r="14" spans="1:21" ht="25.5" customHeight="1" thickBot="1" x14ac:dyDescent="0.25">
      <c r="A14" s="52"/>
      <c r="B14" s="80"/>
      <c r="C14" s="89"/>
      <c r="D14" s="89"/>
      <c r="E14" s="81"/>
      <c r="F14" s="80"/>
      <c r="G14" s="81"/>
      <c r="H14" s="52"/>
      <c r="I14" s="82"/>
      <c r="J14" s="82"/>
      <c r="K14" s="82"/>
      <c r="L14" s="82"/>
      <c r="M14" s="80"/>
      <c r="N14" s="81"/>
      <c r="O14" s="52"/>
      <c r="P14" s="82"/>
      <c r="Q14" s="82"/>
      <c r="R14" s="82"/>
      <c r="S14" s="82"/>
      <c r="T14" s="80"/>
      <c r="U14" s="81"/>
    </row>
    <row r="15" spans="1:21" ht="25.5" customHeight="1" thickBot="1" x14ac:dyDescent="0.25">
      <c r="A15" s="52"/>
      <c r="B15" s="80"/>
      <c r="C15" s="89"/>
      <c r="D15" s="89"/>
      <c r="E15" s="81"/>
      <c r="F15" s="80"/>
      <c r="G15" s="81"/>
      <c r="H15" s="52"/>
      <c r="I15" s="82"/>
      <c r="J15" s="82"/>
      <c r="K15" s="82"/>
      <c r="L15" s="82"/>
      <c r="M15" s="80"/>
      <c r="N15" s="81"/>
      <c r="O15" s="52"/>
      <c r="P15" s="82"/>
      <c r="Q15" s="82"/>
      <c r="R15" s="82"/>
      <c r="S15" s="82"/>
      <c r="T15" s="80"/>
      <c r="U15" s="81"/>
    </row>
    <row r="16" spans="1:21" ht="25.5" customHeight="1" thickBot="1" x14ac:dyDescent="0.25">
      <c r="A16" s="52"/>
      <c r="B16" s="80"/>
      <c r="C16" s="89"/>
      <c r="D16" s="89"/>
      <c r="E16" s="81"/>
      <c r="F16" s="80"/>
      <c r="G16" s="81"/>
      <c r="H16" s="52"/>
      <c r="I16" s="82"/>
      <c r="J16" s="82"/>
      <c r="K16" s="82"/>
      <c r="L16" s="82"/>
      <c r="M16" s="80"/>
      <c r="N16" s="81"/>
      <c r="O16" s="52"/>
      <c r="P16" s="82"/>
      <c r="Q16" s="82"/>
      <c r="R16" s="82"/>
      <c r="S16" s="82"/>
      <c r="T16" s="80"/>
      <c r="U16" s="81"/>
    </row>
    <row r="17" spans="1:21" ht="25.5" customHeight="1" thickBot="1" x14ac:dyDescent="0.25">
      <c r="A17" s="52"/>
      <c r="B17" s="80"/>
      <c r="C17" s="89"/>
      <c r="D17" s="89"/>
      <c r="E17" s="81"/>
      <c r="F17" s="80"/>
      <c r="G17" s="81"/>
      <c r="H17" s="52"/>
      <c r="I17" s="82"/>
      <c r="J17" s="82"/>
      <c r="K17" s="82"/>
      <c r="L17" s="82"/>
      <c r="M17" s="80"/>
      <c r="N17" s="81"/>
      <c r="O17" s="52"/>
      <c r="P17" s="82"/>
      <c r="Q17" s="82"/>
      <c r="R17" s="82"/>
      <c r="S17" s="82"/>
      <c r="T17" s="80"/>
      <c r="U17" s="81"/>
    </row>
    <row r="18" spans="1:21" ht="25.5" customHeight="1" thickBot="1" x14ac:dyDescent="0.25">
      <c r="A18" s="52"/>
      <c r="B18" s="80"/>
      <c r="C18" s="89"/>
      <c r="D18" s="89"/>
      <c r="E18" s="81"/>
      <c r="F18" s="80"/>
      <c r="G18" s="81"/>
      <c r="H18" s="52"/>
      <c r="I18" s="82"/>
      <c r="J18" s="82"/>
      <c r="K18" s="82"/>
      <c r="L18" s="82"/>
      <c r="M18" s="80"/>
      <c r="N18" s="81"/>
      <c r="O18" s="52"/>
      <c r="P18" s="82"/>
      <c r="Q18" s="82"/>
      <c r="R18" s="82"/>
      <c r="S18" s="82"/>
      <c r="T18" s="80"/>
      <c r="U18" s="81"/>
    </row>
    <row r="19" spans="1:21" ht="25.5" customHeight="1" thickBot="1" x14ac:dyDescent="0.25">
      <c r="A19" s="52"/>
      <c r="B19" s="80"/>
      <c r="C19" s="89"/>
      <c r="D19" s="89"/>
      <c r="E19" s="81"/>
      <c r="F19" s="80"/>
      <c r="G19" s="81"/>
      <c r="H19" s="52"/>
      <c r="I19" s="82"/>
      <c r="J19" s="82"/>
      <c r="K19" s="82"/>
      <c r="L19" s="82"/>
      <c r="M19" s="80"/>
      <c r="N19" s="81"/>
      <c r="O19" s="52"/>
      <c r="P19" s="82"/>
      <c r="Q19" s="82"/>
      <c r="R19" s="82"/>
      <c r="S19" s="82"/>
      <c r="T19" s="80"/>
      <c r="U19" s="81"/>
    </row>
    <row r="20" spans="1:21" ht="25.5" customHeight="1" thickBot="1" x14ac:dyDescent="0.25">
      <c r="A20" s="52"/>
      <c r="B20" s="80"/>
      <c r="C20" s="89"/>
      <c r="D20" s="89"/>
      <c r="E20" s="81"/>
      <c r="F20" s="80"/>
      <c r="G20" s="81"/>
      <c r="H20" s="52"/>
      <c r="I20" s="82"/>
      <c r="J20" s="82"/>
      <c r="K20" s="82"/>
      <c r="L20" s="82"/>
      <c r="M20" s="80"/>
      <c r="N20" s="81"/>
      <c r="O20" s="52"/>
      <c r="P20" s="82"/>
      <c r="Q20" s="82"/>
      <c r="R20" s="82"/>
      <c r="S20" s="82"/>
      <c r="T20" s="80"/>
      <c r="U20" s="81"/>
    </row>
    <row r="21" spans="1:21" ht="25.5" customHeight="1" thickBot="1" x14ac:dyDescent="0.25">
      <c r="A21" s="52"/>
      <c r="B21" s="80"/>
      <c r="C21" s="89"/>
      <c r="D21" s="89"/>
      <c r="E21" s="81"/>
      <c r="F21" s="80"/>
      <c r="G21" s="81"/>
      <c r="H21" s="52"/>
      <c r="I21" s="82"/>
      <c r="J21" s="82"/>
      <c r="K21" s="82"/>
      <c r="L21" s="82"/>
      <c r="M21" s="80"/>
      <c r="N21" s="81"/>
      <c r="O21" s="52"/>
      <c r="P21" s="82"/>
      <c r="Q21" s="82"/>
      <c r="R21" s="82"/>
      <c r="S21" s="82"/>
      <c r="T21" s="80"/>
      <c r="U21" s="81"/>
    </row>
    <row r="22" spans="1:21" ht="25.5" customHeight="1" thickBot="1" x14ac:dyDescent="0.25">
      <c r="A22" s="52"/>
      <c r="B22" s="80"/>
      <c r="C22" s="89"/>
      <c r="D22" s="89"/>
      <c r="E22" s="81"/>
      <c r="F22" s="80"/>
      <c r="G22" s="81"/>
      <c r="H22" s="52"/>
      <c r="I22" s="82"/>
      <c r="J22" s="82"/>
      <c r="K22" s="82"/>
      <c r="L22" s="82"/>
      <c r="M22" s="80"/>
      <c r="N22" s="81"/>
      <c r="O22" s="52"/>
      <c r="P22" s="82"/>
      <c r="Q22" s="82"/>
      <c r="R22" s="82"/>
      <c r="S22" s="82"/>
      <c r="T22" s="80"/>
      <c r="U22" s="81"/>
    </row>
    <row r="23" spans="1:21" ht="25.5" customHeight="1" thickBot="1" x14ac:dyDescent="0.25">
      <c r="A23" s="52"/>
      <c r="B23" s="80"/>
      <c r="C23" s="89"/>
      <c r="D23" s="89"/>
      <c r="E23" s="81"/>
      <c r="F23" s="80"/>
      <c r="G23" s="81"/>
      <c r="H23" s="52"/>
      <c r="I23" s="82"/>
      <c r="J23" s="82"/>
      <c r="K23" s="82"/>
      <c r="L23" s="82"/>
      <c r="M23" s="80"/>
      <c r="N23" s="81"/>
      <c r="O23" s="52"/>
      <c r="P23" s="82"/>
      <c r="Q23" s="82"/>
      <c r="R23" s="82"/>
      <c r="S23" s="82"/>
      <c r="T23" s="80"/>
      <c r="U23" s="81"/>
    </row>
    <row r="24" spans="1:21" ht="25.5" customHeight="1" thickBot="1" x14ac:dyDescent="0.25">
      <c r="A24" s="52"/>
      <c r="B24" s="80"/>
      <c r="C24" s="89"/>
      <c r="D24" s="89"/>
      <c r="E24" s="81"/>
      <c r="F24" s="80"/>
      <c r="G24" s="81"/>
      <c r="H24" s="52"/>
      <c r="I24" s="82"/>
      <c r="J24" s="82"/>
      <c r="K24" s="82"/>
      <c r="L24" s="82"/>
      <c r="M24" s="80"/>
      <c r="N24" s="81"/>
      <c r="O24" s="52"/>
      <c r="P24" s="82"/>
      <c r="Q24" s="82"/>
      <c r="R24" s="82"/>
      <c r="S24" s="82"/>
      <c r="T24" s="80"/>
      <c r="U24" s="81"/>
    </row>
    <row r="25" spans="1:21" ht="25.5" customHeight="1" thickBot="1" x14ac:dyDescent="0.25">
      <c r="A25" s="52"/>
      <c r="B25" s="80"/>
      <c r="C25" s="89"/>
      <c r="D25" s="89"/>
      <c r="E25" s="81"/>
      <c r="F25" s="80"/>
      <c r="G25" s="81"/>
      <c r="H25" s="52"/>
      <c r="I25" s="82"/>
      <c r="J25" s="82"/>
      <c r="K25" s="82"/>
      <c r="L25" s="82"/>
      <c r="M25" s="80"/>
      <c r="N25" s="81"/>
      <c r="O25" s="52"/>
      <c r="P25" s="82"/>
      <c r="Q25" s="82"/>
      <c r="R25" s="82"/>
      <c r="S25" s="82"/>
      <c r="T25" s="80"/>
      <c r="U25" s="81"/>
    </row>
    <row r="26" spans="1:21" ht="25.5" customHeight="1" thickBot="1" x14ac:dyDescent="0.25">
      <c r="A26" s="52"/>
      <c r="B26" s="80"/>
      <c r="C26" s="89"/>
      <c r="D26" s="89"/>
      <c r="E26" s="81"/>
      <c r="F26" s="80"/>
      <c r="G26" s="81"/>
      <c r="H26" s="52"/>
      <c r="I26" s="82"/>
      <c r="J26" s="82"/>
      <c r="K26" s="82"/>
      <c r="L26" s="82"/>
      <c r="M26" s="80"/>
      <c r="N26" s="81"/>
      <c r="O26" s="52"/>
      <c r="P26" s="82"/>
      <c r="Q26" s="82"/>
      <c r="R26" s="82"/>
      <c r="S26" s="82"/>
      <c r="T26" s="80"/>
      <c r="U26" s="81"/>
    </row>
    <row r="27" spans="1:21" ht="25.5" customHeight="1" thickBot="1" x14ac:dyDescent="0.25">
      <c r="A27" s="52"/>
      <c r="B27" s="80"/>
      <c r="C27" s="89"/>
      <c r="D27" s="89"/>
      <c r="E27" s="81"/>
      <c r="F27" s="80"/>
      <c r="G27" s="81"/>
      <c r="H27" s="52"/>
      <c r="I27" s="82"/>
      <c r="J27" s="82"/>
      <c r="K27" s="82"/>
      <c r="L27" s="82"/>
      <c r="M27" s="80"/>
      <c r="N27" s="81"/>
      <c r="O27" s="52"/>
      <c r="P27" s="82"/>
      <c r="Q27" s="82"/>
      <c r="R27" s="82"/>
      <c r="S27" s="82"/>
      <c r="T27" s="80"/>
      <c r="U27" s="81"/>
    </row>
    <row r="28" spans="1:21" ht="25.5" customHeight="1" thickBot="1" x14ac:dyDescent="0.25">
      <c r="A28" s="52"/>
      <c r="B28" s="80"/>
      <c r="C28" s="89"/>
      <c r="D28" s="89"/>
      <c r="E28" s="81"/>
      <c r="F28" s="80"/>
      <c r="G28" s="81"/>
      <c r="H28" s="52"/>
      <c r="I28" s="82"/>
      <c r="J28" s="82"/>
      <c r="K28" s="82"/>
      <c r="L28" s="82"/>
      <c r="M28" s="80"/>
      <c r="N28" s="81"/>
      <c r="O28" s="52"/>
      <c r="P28" s="82"/>
      <c r="Q28" s="82"/>
      <c r="R28" s="82"/>
      <c r="S28" s="82"/>
      <c r="T28" s="80"/>
      <c r="U28" s="81"/>
    </row>
    <row r="29" spans="1:21" ht="25.5" customHeight="1" thickBot="1" x14ac:dyDescent="0.25">
      <c r="A29" s="52"/>
      <c r="B29" s="80"/>
      <c r="C29" s="89"/>
      <c r="D29" s="89"/>
      <c r="E29" s="81"/>
      <c r="F29" s="80"/>
      <c r="G29" s="81"/>
      <c r="H29" s="52"/>
      <c r="I29" s="80"/>
      <c r="J29" s="89"/>
      <c r="K29" s="89"/>
      <c r="L29" s="81"/>
      <c r="M29" s="80"/>
      <c r="N29" s="81"/>
      <c r="O29" s="52"/>
      <c r="P29" s="80"/>
      <c r="Q29" s="89"/>
      <c r="R29" s="89"/>
      <c r="S29" s="81"/>
      <c r="T29" s="80"/>
      <c r="U29" s="81"/>
    </row>
    <row r="30" spans="1:21" ht="25.5" customHeight="1" x14ac:dyDescent="0.2">
      <c r="A30" s="53"/>
      <c r="B30" s="54"/>
      <c r="C30" s="54"/>
      <c r="D30" s="54"/>
      <c r="E30" s="54"/>
      <c r="F30" s="90"/>
      <c r="G30" s="90"/>
    </row>
    <row r="31" spans="1:21" ht="25.5" customHeight="1" x14ac:dyDescent="0.2">
      <c r="B31" s="54"/>
      <c r="C31" s="54"/>
      <c r="D31" s="54"/>
      <c r="E31" s="54"/>
      <c r="F31" s="90"/>
      <c r="G31" s="90"/>
    </row>
    <row r="32" spans="1:21" ht="25.5" customHeight="1" x14ac:dyDescent="0.2">
      <c r="C32" s="54"/>
      <c r="D32" s="54"/>
      <c r="E32" s="54"/>
      <c r="F32" s="90"/>
      <c r="G32" s="90"/>
    </row>
    <row r="33" spans="1:1" ht="25.5" customHeight="1" x14ac:dyDescent="0.2"/>
    <row r="34" spans="1:1" ht="25.5" customHeight="1" x14ac:dyDescent="0.2"/>
    <row r="35" spans="1:1" ht="25.5" customHeight="1" x14ac:dyDescent="0.2"/>
    <row r="36" spans="1:1" ht="25.5" customHeight="1" x14ac:dyDescent="0.2"/>
    <row r="37" spans="1:1" ht="25.5" customHeight="1" x14ac:dyDescent="0.2"/>
    <row r="38" spans="1:1" ht="25.5" customHeight="1" x14ac:dyDescent="0.2"/>
    <row r="39" spans="1:1" ht="25.5" customHeight="1" x14ac:dyDescent="0.2"/>
    <row r="40" spans="1:1" ht="25.5" customHeight="1" x14ac:dyDescent="0.2"/>
    <row r="41" spans="1:1" ht="25.5" customHeight="1" x14ac:dyDescent="0.2"/>
    <row r="42" spans="1:1" ht="25.5" customHeight="1" x14ac:dyDescent="0.2"/>
    <row r="43" spans="1:1" ht="25.5" customHeight="1" x14ac:dyDescent="0.2"/>
    <row r="44" spans="1:1" ht="25.5" customHeight="1" x14ac:dyDescent="0.2"/>
    <row r="45" spans="1:1" ht="25.5" customHeight="1" x14ac:dyDescent="0.2"/>
    <row r="46" spans="1:1" ht="25.5" customHeight="1" x14ac:dyDescent="0.2">
      <c r="A46" s="37"/>
    </row>
    <row r="47" spans="1:1" x14ac:dyDescent="0.2">
      <c r="A47" s="37"/>
    </row>
  </sheetData>
  <sheetProtection sheet="1" objects="1" scenarios="1"/>
  <mergeCells count="126">
    <mergeCell ref="F31:G31"/>
    <mergeCell ref="F32:G32"/>
    <mergeCell ref="B29:E29"/>
    <mergeCell ref="F29:G29"/>
    <mergeCell ref="I29:L29"/>
    <mergeCell ref="M29:N29"/>
    <mergeCell ref="P29:S29"/>
    <mergeCell ref="T29:U29"/>
    <mergeCell ref="F28:G28"/>
    <mergeCell ref="I28:L28"/>
    <mergeCell ref="M28:N28"/>
    <mergeCell ref="P28:S28"/>
    <mergeCell ref="T28:U28"/>
    <mergeCell ref="F30:G30"/>
    <mergeCell ref="B28:E28"/>
    <mergeCell ref="B27:E27"/>
    <mergeCell ref="F27:G27"/>
    <mergeCell ref="I27:L27"/>
    <mergeCell ref="M27:N27"/>
    <mergeCell ref="P27:S27"/>
    <mergeCell ref="T27:U27"/>
    <mergeCell ref="B26:E26"/>
    <mergeCell ref="F26:G26"/>
    <mergeCell ref="I26:L26"/>
    <mergeCell ref="M26:N26"/>
    <mergeCell ref="P26:S26"/>
    <mergeCell ref="T26:U26"/>
    <mergeCell ref="B25:E25"/>
    <mergeCell ref="F25:G25"/>
    <mergeCell ref="I25:L25"/>
    <mergeCell ref="M25:N25"/>
    <mergeCell ref="P25:S25"/>
    <mergeCell ref="T25:U25"/>
    <mergeCell ref="B24:E24"/>
    <mergeCell ref="F24:G24"/>
    <mergeCell ref="I24:L24"/>
    <mergeCell ref="M24:N24"/>
    <mergeCell ref="P24:S24"/>
    <mergeCell ref="T24:U24"/>
    <mergeCell ref="B23:E23"/>
    <mergeCell ref="F23:G23"/>
    <mergeCell ref="I23:L23"/>
    <mergeCell ref="M23:N23"/>
    <mergeCell ref="P23:S23"/>
    <mergeCell ref="T23:U23"/>
    <mergeCell ref="B22:E22"/>
    <mergeCell ref="F22:G22"/>
    <mergeCell ref="I22:L22"/>
    <mergeCell ref="M22:N22"/>
    <mergeCell ref="P22:S22"/>
    <mergeCell ref="T22:U22"/>
    <mergeCell ref="B21:E21"/>
    <mergeCell ref="F21:G21"/>
    <mergeCell ref="I21:L21"/>
    <mergeCell ref="M21:N21"/>
    <mergeCell ref="P21:S21"/>
    <mergeCell ref="T21:U21"/>
    <mergeCell ref="B20:E20"/>
    <mergeCell ref="F20:G20"/>
    <mergeCell ref="I20:L20"/>
    <mergeCell ref="M20:N20"/>
    <mergeCell ref="P20:S20"/>
    <mergeCell ref="T20:U20"/>
    <mergeCell ref="B19:E19"/>
    <mergeCell ref="F19:G19"/>
    <mergeCell ref="I19:L19"/>
    <mergeCell ref="M19:N19"/>
    <mergeCell ref="P19:S19"/>
    <mergeCell ref="T19:U19"/>
    <mergeCell ref="B18:E18"/>
    <mergeCell ref="F18:G18"/>
    <mergeCell ref="I18:L18"/>
    <mergeCell ref="M18:N18"/>
    <mergeCell ref="P18:S18"/>
    <mergeCell ref="T18:U18"/>
    <mergeCell ref="B16:E16"/>
    <mergeCell ref="F17:G17"/>
    <mergeCell ref="I17:L17"/>
    <mergeCell ref="M17:N17"/>
    <mergeCell ref="P17:S17"/>
    <mergeCell ref="T17:U17"/>
    <mergeCell ref="B15:E15"/>
    <mergeCell ref="F16:G16"/>
    <mergeCell ref="I16:L16"/>
    <mergeCell ref="M16:N16"/>
    <mergeCell ref="P16:S16"/>
    <mergeCell ref="T16:U16"/>
    <mergeCell ref="B17:E17"/>
    <mergeCell ref="B14:E14"/>
    <mergeCell ref="F15:G15"/>
    <mergeCell ref="I15:L15"/>
    <mergeCell ref="M15:N15"/>
    <mergeCell ref="P15:S15"/>
    <mergeCell ref="T15:U15"/>
    <mergeCell ref="B13:E13"/>
    <mergeCell ref="F14:G14"/>
    <mergeCell ref="I14:L14"/>
    <mergeCell ref="M14:N14"/>
    <mergeCell ref="P14:S14"/>
    <mergeCell ref="T14:U14"/>
    <mergeCell ref="F13:G13"/>
    <mergeCell ref="I13:L13"/>
    <mergeCell ref="M13:N13"/>
    <mergeCell ref="P13:S13"/>
    <mergeCell ref="T13:U13"/>
    <mergeCell ref="M12:N12"/>
    <mergeCell ref="P12:S12"/>
    <mergeCell ref="T12:U12"/>
    <mergeCell ref="F11:G11"/>
    <mergeCell ref="I11:L11"/>
    <mergeCell ref="B6:F8"/>
    <mergeCell ref="I6:M8"/>
    <mergeCell ref="P6:T7"/>
    <mergeCell ref="B10:E10"/>
    <mergeCell ref="F10:G10"/>
    <mergeCell ref="I10:L10"/>
    <mergeCell ref="M10:N10"/>
    <mergeCell ref="P10:S10"/>
    <mergeCell ref="T10:U10"/>
    <mergeCell ref="M11:N11"/>
    <mergeCell ref="P11:S11"/>
    <mergeCell ref="T11:U11"/>
    <mergeCell ref="B12:E12"/>
    <mergeCell ref="B11:E11"/>
    <mergeCell ref="F12:G12"/>
    <mergeCell ref="I12:L12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REMPLIR</vt:lpstr>
      <vt:lpstr>BDD</vt:lpstr>
      <vt:lpstr>BONCOM</vt:lpstr>
      <vt:lpstr>REMPLIR!Zone_d_impression</vt:lpstr>
    </vt:vector>
  </TitlesOfParts>
  <Company>Mader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FESSARD Baptiste</dc:creator>
  <cp:lastModifiedBy>baptiste fessard</cp:lastModifiedBy>
  <cp:lastPrinted>2018-04-16T14:17:01Z</cp:lastPrinted>
  <dcterms:created xsi:type="dcterms:W3CDTF">2016-02-01T15:07:52Z</dcterms:created>
  <dcterms:modified xsi:type="dcterms:W3CDTF">2018-04-16T14:23:13Z</dcterms:modified>
</cp:coreProperties>
</file>